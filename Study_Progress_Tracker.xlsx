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cker" sheetId="2" state="visible" r:id="rId2"/>
    <sheet name="Weekly Schedule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9"/>
    </font>
    <font>
      <b val="1"/>
      <color rgb="00FFFFFF"/>
      <sz val="11"/>
    </font>
    <font>
      <b val="1"/>
      <color rgb="00FFFFFF"/>
      <sz val="18"/>
    </font>
    <font>
      <i val="1"/>
      <color rgb="00595959"/>
      <sz val="10"/>
    </font>
    <font>
      <b val="1"/>
      <color rgb="001F3864"/>
      <sz val="14"/>
    </font>
    <font>
      <b val="1"/>
      <color rgb="00FFFFFF"/>
      <sz val="12"/>
    </font>
    <font>
      <b val="1"/>
      <color rgb="001F3864"/>
    </font>
    <font>
      <i val="1"/>
      <color rgb="00595959"/>
      <sz val="9"/>
    </font>
    <font>
      <b val="1"/>
      <color rgb="00FFFFFF"/>
      <sz val="1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B"/>
      </patternFill>
    </fill>
    <fill>
      <patternFill patternType="solid">
        <fgColor rgb="00D9E1F2"/>
      </patternFill>
    </fill>
    <fill>
      <patternFill patternType="solid">
        <fgColor rgb="00006100"/>
      </patternFill>
    </fill>
    <fill>
      <patternFill patternType="solid">
        <fgColor rgb="009C6500"/>
      </patternFill>
    </fill>
    <fill>
      <patternFill patternType="solid">
        <fgColor rgb="009C0006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indent="1"/>
    </xf>
    <xf numFmtId="1" fontId="6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  <xf numFmtId="165" fontId="6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9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7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404040"/>
      </font>
      <fill>
        <patternFill patternType="solid">
          <fgColor rgb="00D9D9D9"/>
        </patternFill>
      </fill>
    </dxf>
    <dxf>
      <font>
        <color rgb="001F3864"/>
      </font>
      <fill>
        <patternFill patternType="solid">
          <fgColor rgb="00BDD7EE"/>
        </patternFill>
      </fill>
    </dxf>
    <dxf>
      <font>
        <b val="1"/>
        <color rgb="009C0006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  <col width="16" customWidth="1" min="6" max="6"/>
    <col width="3" customWidth="1" min="7" max="7"/>
  </cols>
  <sheetData>
    <row r="2" ht="32" customHeight="1">
      <c r="B2" s="1" t="inlineStr">
        <is>
          <t>STUDY PROGRESS — DASHBOARD</t>
        </is>
      </c>
    </row>
    <row r="3">
      <c r="B3" s="2" t="inlineStr">
        <is>
          <t>Auto-updates from the Tracker sheet</t>
        </is>
      </c>
    </row>
    <row r="5">
      <c r="B5" s="3" t="inlineStr">
        <is>
          <t>Total Topics</t>
        </is>
      </c>
      <c r="C5" s="4">
        <f>COUNTA(Tracker!$A$4:$A$203)</f>
        <v/>
      </c>
      <c r="E5" s="3" t="inlineStr">
        <is>
          <t>Overall Progress</t>
        </is>
      </c>
      <c r="F5" s="5">
        <f>IFERROR(AVERAGE(Tracker!$I$4:$I$203),0)</f>
        <v/>
      </c>
    </row>
    <row r="6">
      <c r="B6" s="6" t="inlineStr">
        <is>
          <t>Completed</t>
        </is>
      </c>
      <c r="C6" s="4">
        <f>COUNTIF(Tracker!$D$4:$D$203,"Completed")</f>
        <v/>
      </c>
      <c r="E6" s="3" t="inlineStr">
        <is>
          <t>Hours Planned</t>
        </is>
      </c>
      <c r="F6" s="7">
        <f>SUM(Tracker!$G$4:$G$203)</f>
        <v/>
      </c>
    </row>
    <row r="7">
      <c r="B7" s="8" t="inlineStr">
        <is>
          <t>In Progress</t>
        </is>
      </c>
      <c r="C7" s="4">
        <f>COUNTIF(Tracker!$D$4:$D$203,"In Progress")</f>
        <v/>
      </c>
      <c r="E7" s="3" t="inlineStr">
        <is>
          <t>Hours Done</t>
        </is>
      </c>
      <c r="F7" s="7">
        <f>SUM(Tracker!$H$4:$H$203)</f>
        <v/>
      </c>
    </row>
    <row r="8">
      <c r="B8" s="9" t="inlineStr">
        <is>
          <t>Not Started</t>
        </is>
      </c>
      <c r="C8" s="4">
        <f>COUNTIF(Tracker!$D$4:$D$203,"Not Started")</f>
        <v/>
      </c>
      <c r="E8" s="3" t="inlineStr">
        <is>
          <t>Hours Remaining</t>
        </is>
      </c>
      <c r="F8" s="7">
        <f>MAX(0,SUM(Tracker!$G$4:$G$203)-SUM(Tracker!$H$4:$H$203))</f>
        <v/>
      </c>
    </row>
    <row r="9">
      <c r="B9" s="10" t="inlineStr">
        <is>
          <t>On Hold / Revising</t>
        </is>
      </c>
      <c r="C9" s="4">
        <f>COUNTIF(Tracker!$D$4:$D$203,"On Hold")+COUNTIF(Tracker!$D$4:$D$203,"Revising")</f>
        <v/>
      </c>
      <c r="E9" s="9" t="inlineStr">
        <is>
          <t>Overdue Topics</t>
        </is>
      </c>
      <c r="F9" s="4">
        <f>SUMPRODUCT(--(Tracker!$F$4:$F$203&lt;&gt;""),--(Tracker!$F$4:$F$203&lt;TODAY()),--(Tracker!$D$4:$D$203&lt;&gt;"Completed"))</f>
        <v/>
      </c>
    </row>
    <row r="11" ht="22" customHeight="1">
      <c r="B11" s="11" t="inlineStr">
        <is>
          <t>PROGRESS BY SUBJECT</t>
        </is>
      </c>
    </row>
    <row r="12">
      <c r="B12" s="12" t="inlineStr">
        <is>
          <t>Subject</t>
        </is>
      </c>
      <c r="C12" s="12" t="inlineStr">
        <is>
          <t>Topics</t>
        </is>
      </c>
      <c r="D12" s="12" t="inlineStr">
        <is>
          <t>Done</t>
        </is>
      </c>
      <c r="E12" s="12" t="inlineStr">
        <is>
          <t>Avg Progress</t>
        </is>
      </c>
      <c r="F12" s="13" t="n"/>
    </row>
    <row r="13">
      <c r="B13" s="14" t="inlineStr"/>
      <c r="C13" s="15">
        <f>IF($B13="","",COUNTIF(Tracker!$A$4:$A$203,$B13))</f>
        <v/>
      </c>
      <c r="D13" s="15">
        <f>IF($B13="","",COUNTIFS(Tracker!$A$4:$A$203,$B13,Tracker!$D$4:$D$203,"Completed"))</f>
        <v/>
      </c>
      <c r="E13" s="16">
        <f>IF($B13="","",IFERROR(AVERAGEIF(Tracker!$A$4:$A$203,$B13,Tracker!$I$4:$I$203),0))</f>
        <v/>
      </c>
      <c r="F13" s="13" t="n"/>
    </row>
    <row r="14">
      <c r="B14" s="14" t="inlineStr"/>
      <c r="C14" s="15">
        <f>IF($B14="","",COUNTIF(Tracker!$A$4:$A$203,$B14))</f>
        <v/>
      </c>
      <c r="D14" s="15">
        <f>IF($B14="","",COUNTIFS(Tracker!$A$4:$A$203,$B14,Tracker!$D$4:$D$203,"Completed"))</f>
        <v/>
      </c>
      <c r="E14" s="16">
        <f>IF($B14="","",IFERROR(AVERAGEIF(Tracker!$A$4:$A$203,$B14,Tracker!$I$4:$I$203),0))</f>
        <v/>
      </c>
      <c r="F14" s="13" t="n"/>
    </row>
    <row r="15">
      <c r="B15" s="14" t="inlineStr"/>
      <c r="C15" s="15">
        <f>IF($B15="","",COUNTIF(Tracker!$A$4:$A$203,$B15))</f>
        <v/>
      </c>
      <c r="D15" s="15">
        <f>IF($B15="","",COUNTIFS(Tracker!$A$4:$A$203,$B15,Tracker!$D$4:$D$203,"Completed"))</f>
        <v/>
      </c>
      <c r="E15" s="16">
        <f>IF($B15="","",IFERROR(AVERAGEIF(Tracker!$A$4:$A$203,$B15,Tracker!$I$4:$I$203),0))</f>
        <v/>
      </c>
      <c r="F15" s="13" t="n"/>
    </row>
    <row r="16">
      <c r="B16" s="14" t="inlineStr"/>
      <c r="C16" s="15">
        <f>IF($B16="","",COUNTIF(Tracker!$A$4:$A$203,$B16))</f>
        <v/>
      </c>
      <c r="D16" s="15">
        <f>IF($B16="","",COUNTIFS(Tracker!$A$4:$A$203,$B16,Tracker!$D$4:$D$203,"Completed"))</f>
        <v/>
      </c>
      <c r="E16" s="16">
        <f>IF($B16="","",IFERROR(AVERAGEIF(Tracker!$A$4:$A$203,$B16,Tracker!$I$4:$I$203),0))</f>
        <v/>
      </c>
      <c r="F16" s="13" t="n"/>
    </row>
    <row r="17">
      <c r="B17" s="14" t="inlineStr"/>
      <c r="C17" s="15">
        <f>IF($B17="","",COUNTIF(Tracker!$A$4:$A$203,$B17))</f>
        <v/>
      </c>
      <c r="D17" s="15">
        <f>IF($B17="","",COUNTIFS(Tracker!$A$4:$A$203,$B17,Tracker!$D$4:$D$203,"Completed"))</f>
        <v/>
      </c>
      <c r="E17" s="16">
        <f>IF($B17="","",IFERROR(AVERAGEIF(Tracker!$A$4:$A$203,$B17,Tracker!$I$4:$I$203),0))</f>
        <v/>
      </c>
      <c r="F17" s="13" t="n"/>
    </row>
    <row r="18">
      <c r="B18" s="14" t="inlineStr"/>
      <c r="C18" s="15">
        <f>IF($B18="","",COUNTIF(Tracker!$A$4:$A$203,$B18))</f>
        <v/>
      </c>
      <c r="D18" s="15">
        <f>IF($B18="","",COUNTIFS(Tracker!$A$4:$A$203,$B18,Tracker!$D$4:$D$203,"Completed"))</f>
        <v/>
      </c>
      <c r="E18" s="16">
        <f>IF($B18="","",IFERROR(AVERAGEIF(Tracker!$A$4:$A$203,$B18,Tracker!$I$4:$I$203),0))</f>
        <v/>
      </c>
      <c r="F18" s="13" t="n"/>
    </row>
    <row r="19">
      <c r="B19" s="14" t="inlineStr"/>
      <c r="C19" s="15">
        <f>IF($B19="","",COUNTIF(Tracker!$A$4:$A$203,$B19))</f>
        <v/>
      </c>
      <c r="D19" s="15">
        <f>IF($B19="","",COUNTIFS(Tracker!$A$4:$A$203,$B19,Tracker!$D$4:$D$203,"Completed"))</f>
        <v/>
      </c>
      <c r="E19" s="16">
        <f>IF($B19="","",IFERROR(AVERAGEIF(Tracker!$A$4:$A$203,$B19,Tracker!$I$4:$I$203),0))</f>
        <v/>
      </c>
      <c r="F19" s="13" t="n"/>
    </row>
    <row r="20">
      <c r="B20" s="14" t="inlineStr"/>
      <c r="C20" s="15">
        <f>IF($B20="","",COUNTIF(Tracker!$A$4:$A$203,$B20))</f>
        <v/>
      </c>
      <c r="D20" s="15">
        <f>IF($B20="","",COUNTIFS(Tracker!$A$4:$A$203,$B20,Tracker!$D$4:$D$203,"Completed"))</f>
        <v/>
      </c>
      <c r="E20" s="16">
        <f>IF($B20="","",IFERROR(AVERAGEIF(Tracker!$A$4:$A$203,$B20,Tracker!$I$4:$I$203),0))</f>
        <v/>
      </c>
      <c r="F20" s="13" t="n"/>
    </row>
    <row r="22">
      <c r="B22" s="17" t="inlineStr">
        <is>
          <t>Tip: add your own subjects in column B above — the counts and progress fill in automatically.</t>
        </is>
      </c>
    </row>
  </sheetData>
  <mergeCells count="13">
    <mergeCell ref="E12:F12"/>
    <mergeCell ref="E20:F20"/>
    <mergeCell ref="E16:F16"/>
    <mergeCell ref="B2:F2"/>
    <mergeCell ref="E15:F15"/>
    <mergeCell ref="B11:F11"/>
    <mergeCell ref="E19:F19"/>
    <mergeCell ref="B3:F3"/>
    <mergeCell ref="E13:F13"/>
    <mergeCell ref="E14:F14"/>
    <mergeCell ref="B22:F22"/>
    <mergeCell ref="E17:F17"/>
    <mergeCell ref="E18:F18"/>
  </mergeCells>
  <conditionalFormatting sqref="E13:E20">
    <cfRule type="colorScale" priority="1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1" customWidth="1" min="9" max="9"/>
    <col width="13" customWidth="1" min="10" max="10"/>
    <col width="34" customWidth="1" min="11" max="11"/>
  </cols>
  <sheetData>
    <row r="1" ht="30" customHeight="1">
      <c r="A1" s="18" t="inlineStr">
        <is>
          <t>STUDY PROGRESS TRACKER</t>
        </is>
      </c>
    </row>
    <row r="2" ht="22" customHeight="1">
      <c r="A2" s="19" t="inlineStr">
        <is>
          <t>Fill in your subjects and topics below. Status, Priority and Confidence are dropdowns. Progress % auto-fills from Status (override any cell to a manual number if you like).</t>
        </is>
      </c>
    </row>
    <row r="3" ht="28" customHeight="1">
      <c r="A3" s="20" t="inlineStr">
        <is>
          <t>Subject</t>
        </is>
      </c>
      <c r="B3" s="20" t="inlineStr">
        <is>
          <t>Topic / Chapter</t>
        </is>
      </c>
      <c r="C3" s="20" t="inlineStr">
        <is>
          <t>Priority</t>
        </is>
      </c>
      <c r="D3" s="20" t="inlineStr">
        <is>
          <t>Status</t>
        </is>
      </c>
      <c r="E3" s="20" t="inlineStr">
        <is>
          <t>Planned Date</t>
        </is>
      </c>
      <c r="F3" s="20" t="inlineStr">
        <is>
          <t>Deadline</t>
        </is>
      </c>
      <c r="G3" s="20" t="inlineStr">
        <is>
          <t>Hours Planned</t>
        </is>
      </c>
      <c r="H3" s="20" t="inlineStr">
        <is>
          <t>Hours Done</t>
        </is>
      </c>
      <c r="I3" s="20" t="inlineStr">
        <is>
          <t>Progress %</t>
        </is>
      </c>
      <c r="J3" s="20" t="inlineStr">
        <is>
          <t>Confidence</t>
        </is>
      </c>
      <c r="K3" s="20" t="inlineStr">
        <is>
          <t>Notes</t>
        </is>
      </c>
    </row>
    <row r="4">
      <c r="A4" s="21" t="n"/>
      <c r="B4" s="21" t="n"/>
      <c r="C4" s="22" t="n"/>
      <c r="D4" s="22" t="n"/>
      <c r="E4" s="23" t="n"/>
      <c r="F4" s="23" t="n"/>
      <c r="G4" s="24" t="n"/>
      <c r="H4" s="24" t="n"/>
      <c r="I4" s="25">
        <f>IF($A4="","",IF(D4="Completed",1,IF(D4="Revising",0.9,IF(D4="In Progress",IF($G4&gt;0,MIN(1,$H4/$G4),0.5),IF(D4="On Hold",0.25,0)))))</f>
        <v/>
      </c>
      <c r="J4" s="22" t="n"/>
      <c r="K4" s="21" t="n"/>
    </row>
    <row r="5">
      <c r="A5" s="26" t="n"/>
      <c r="B5" s="26" t="n"/>
      <c r="C5" s="27" t="n"/>
      <c r="D5" s="27" t="n"/>
      <c r="E5" s="28" t="n"/>
      <c r="F5" s="28" t="n"/>
      <c r="G5" s="29" t="n"/>
      <c r="H5" s="29" t="n"/>
      <c r="I5" s="30">
        <f>IF($A5="","",IF(D5="Completed",1,IF(D5="Revising",0.9,IF(D5="In Progress",IF($G5&gt;0,MIN(1,$H5/$G5),0.5),IF(D5="On Hold",0.25,0)))))</f>
        <v/>
      </c>
      <c r="J5" s="27" t="n"/>
      <c r="K5" s="26" t="n"/>
    </row>
    <row r="6">
      <c r="A6" s="21" t="n"/>
      <c r="B6" s="21" t="n"/>
      <c r="C6" s="22" t="n"/>
      <c r="D6" s="22" t="n"/>
      <c r="E6" s="23" t="n"/>
      <c r="F6" s="23" t="n"/>
      <c r="G6" s="24" t="n"/>
      <c r="H6" s="24" t="n"/>
      <c r="I6" s="25">
        <f>IF($A6="","",IF(D6="Completed",1,IF(D6="Revising",0.9,IF(D6="In Progress",IF($G6&gt;0,MIN(1,$H6/$G6),0.5),IF(D6="On Hold",0.25,0)))))</f>
        <v/>
      </c>
      <c r="J6" s="22" t="n"/>
      <c r="K6" s="21" t="n"/>
    </row>
    <row r="7">
      <c r="A7" s="26" t="n"/>
      <c r="B7" s="26" t="n"/>
      <c r="C7" s="27" t="n"/>
      <c r="D7" s="27" t="n"/>
      <c r="E7" s="28" t="n"/>
      <c r="F7" s="28" t="n"/>
      <c r="G7" s="29" t="n"/>
      <c r="H7" s="29" t="n"/>
      <c r="I7" s="30">
        <f>IF($A7="","",IF(D7="Completed",1,IF(D7="Revising",0.9,IF(D7="In Progress",IF($G7&gt;0,MIN(1,$H7/$G7),0.5),IF(D7="On Hold",0.25,0)))))</f>
        <v/>
      </c>
      <c r="J7" s="27" t="n"/>
      <c r="K7" s="26" t="n"/>
    </row>
    <row r="8">
      <c r="A8" s="21" t="n"/>
      <c r="B8" s="21" t="n"/>
      <c r="C8" s="22" t="n"/>
      <c r="D8" s="22" t="n"/>
      <c r="E8" s="23" t="n"/>
      <c r="F8" s="23" t="n"/>
      <c r="G8" s="24" t="n"/>
      <c r="H8" s="24" t="n"/>
      <c r="I8" s="25">
        <f>IF($A8="","",IF(D8="Completed",1,IF(D8="Revising",0.9,IF(D8="In Progress",IF($G8&gt;0,MIN(1,$H8/$G8),0.5),IF(D8="On Hold",0.25,0)))))</f>
        <v/>
      </c>
      <c r="J8" s="22" t="n"/>
      <c r="K8" s="21" t="n"/>
    </row>
    <row r="9">
      <c r="A9" s="26" t="n"/>
      <c r="B9" s="26" t="n"/>
      <c r="C9" s="27" t="n"/>
      <c r="D9" s="27" t="n"/>
      <c r="E9" s="28" t="n"/>
      <c r="F9" s="28" t="n"/>
      <c r="G9" s="29" t="n"/>
      <c r="H9" s="29" t="n"/>
      <c r="I9" s="30">
        <f>IF($A9="","",IF(D9="Completed",1,IF(D9="Revising",0.9,IF(D9="In Progress",IF($G9&gt;0,MIN(1,$H9/$G9),0.5),IF(D9="On Hold",0.25,0)))))</f>
        <v/>
      </c>
      <c r="J9" s="27" t="n"/>
      <c r="K9" s="26" t="n"/>
    </row>
    <row r="10">
      <c r="A10" s="21" t="n"/>
      <c r="B10" s="21" t="n"/>
      <c r="C10" s="22" t="n"/>
      <c r="D10" s="22" t="n"/>
      <c r="E10" s="23" t="n"/>
      <c r="F10" s="23" t="n"/>
      <c r="G10" s="24" t="n"/>
      <c r="H10" s="24" t="n"/>
      <c r="I10" s="25">
        <f>IF($A10="","",IF(D10="Completed",1,IF(D10="Revising",0.9,IF(D10="In Progress",IF($G10&gt;0,MIN(1,$H10/$G10),0.5),IF(D10="On Hold",0.25,0)))))</f>
        <v/>
      </c>
      <c r="J10" s="22" t="n"/>
      <c r="K10" s="21" t="n"/>
    </row>
    <row r="11">
      <c r="A11" s="26" t="n"/>
      <c r="B11" s="26" t="n"/>
      <c r="C11" s="27" t="n"/>
      <c r="D11" s="27" t="n"/>
      <c r="E11" s="28" t="n"/>
      <c r="F11" s="28" t="n"/>
      <c r="G11" s="29" t="n"/>
      <c r="H11" s="29" t="n"/>
      <c r="I11" s="30">
        <f>IF($A11="","",IF(D11="Completed",1,IF(D11="Revising",0.9,IF(D11="In Progress",IF($G11&gt;0,MIN(1,$H11/$G11),0.5),IF(D11="On Hold",0.25,0)))))</f>
        <v/>
      </c>
      <c r="J11" s="27" t="n"/>
      <c r="K11" s="26" t="n"/>
    </row>
    <row r="12">
      <c r="A12" s="21" t="n"/>
      <c r="B12" s="21" t="n"/>
      <c r="C12" s="22" t="n"/>
      <c r="D12" s="22" t="n"/>
      <c r="E12" s="23" t="n"/>
      <c r="F12" s="23" t="n"/>
      <c r="G12" s="24" t="n"/>
      <c r="H12" s="24" t="n"/>
      <c r="I12" s="25">
        <f>IF($A12="","",IF(D12="Completed",1,IF(D12="Revising",0.9,IF(D12="In Progress",IF($G12&gt;0,MIN(1,$H12/$G12),0.5),IF(D12="On Hold",0.25,0)))))</f>
        <v/>
      </c>
      <c r="J12" s="22" t="n"/>
      <c r="K12" s="21" t="n"/>
    </row>
    <row r="13">
      <c r="A13" s="26" t="n"/>
      <c r="B13" s="26" t="n"/>
      <c r="C13" s="27" t="n"/>
      <c r="D13" s="27" t="n"/>
      <c r="E13" s="28" t="n"/>
      <c r="F13" s="28" t="n"/>
      <c r="G13" s="29" t="n"/>
      <c r="H13" s="29" t="n"/>
      <c r="I13" s="30">
        <f>IF($A13="","",IF(D13="Completed",1,IF(D13="Revising",0.9,IF(D13="In Progress",IF($G13&gt;0,MIN(1,$H13/$G13),0.5),IF(D13="On Hold",0.25,0)))))</f>
        <v/>
      </c>
      <c r="J13" s="27" t="n"/>
      <c r="K13" s="26" t="n"/>
    </row>
    <row r="14">
      <c r="A14" s="21" t="n"/>
      <c r="B14" s="21" t="n"/>
      <c r="C14" s="22" t="n"/>
      <c r="D14" s="22" t="n"/>
      <c r="E14" s="23" t="n"/>
      <c r="F14" s="23" t="n"/>
      <c r="G14" s="24" t="n"/>
      <c r="H14" s="24" t="n"/>
      <c r="I14" s="25">
        <f>IF($A14="","",IF(D14="Completed",1,IF(D14="Revising",0.9,IF(D14="In Progress",IF($G14&gt;0,MIN(1,$H14/$G14),0.5),IF(D14="On Hold",0.25,0)))))</f>
        <v/>
      </c>
      <c r="J14" s="22" t="n"/>
      <c r="K14" s="21" t="n"/>
    </row>
    <row r="15">
      <c r="A15" s="26" t="n"/>
      <c r="B15" s="26" t="n"/>
      <c r="C15" s="27" t="n"/>
      <c r="D15" s="27" t="n"/>
      <c r="E15" s="28" t="n"/>
      <c r="F15" s="28" t="n"/>
      <c r="G15" s="29" t="n"/>
      <c r="H15" s="29" t="n"/>
      <c r="I15" s="30">
        <f>IF($A15="","",IF(D15="Completed",1,IF(D15="Revising",0.9,IF(D15="In Progress",IF($G15&gt;0,MIN(1,$H15/$G15),0.5),IF(D15="On Hold",0.25,0)))))</f>
        <v/>
      </c>
      <c r="J15" s="27" t="n"/>
      <c r="K15" s="26" t="n"/>
    </row>
    <row r="16">
      <c r="A16" s="21" t="n"/>
      <c r="B16" s="21" t="n"/>
      <c r="C16" s="22" t="n"/>
      <c r="D16" s="22" t="n"/>
      <c r="E16" s="23" t="n"/>
      <c r="F16" s="23" t="n"/>
      <c r="G16" s="24" t="n"/>
      <c r="H16" s="24" t="n"/>
      <c r="I16" s="25">
        <f>IF($A16="","",IF(D16="Completed",1,IF(D16="Revising",0.9,IF(D16="In Progress",IF($G16&gt;0,MIN(1,$H16/$G16),0.5),IF(D16="On Hold",0.25,0)))))</f>
        <v/>
      </c>
      <c r="J16" s="22" t="n"/>
      <c r="K16" s="21" t="n"/>
    </row>
    <row r="17">
      <c r="A17" s="26" t="n"/>
      <c r="B17" s="26" t="n"/>
      <c r="C17" s="27" t="n"/>
      <c r="D17" s="27" t="n"/>
      <c r="E17" s="28" t="n"/>
      <c r="F17" s="28" t="n"/>
      <c r="G17" s="29" t="n"/>
      <c r="H17" s="29" t="n"/>
      <c r="I17" s="30">
        <f>IF($A17="","",IF(D17="Completed",1,IF(D17="Revising",0.9,IF(D17="In Progress",IF($G17&gt;0,MIN(1,$H17/$G17),0.5),IF(D17="On Hold",0.25,0)))))</f>
        <v/>
      </c>
      <c r="J17" s="27" t="n"/>
      <c r="K17" s="26" t="n"/>
    </row>
    <row r="18">
      <c r="A18" s="21" t="n"/>
      <c r="B18" s="21" t="n"/>
      <c r="C18" s="22" t="n"/>
      <c r="D18" s="22" t="n"/>
      <c r="E18" s="23" t="n"/>
      <c r="F18" s="23" t="n"/>
      <c r="G18" s="24" t="n"/>
      <c r="H18" s="24" t="n"/>
      <c r="I18" s="25">
        <f>IF($A18="","",IF(D18="Completed",1,IF(D18="Revising",0.9,IF(D18="In Progress",IF($G18&gt;0,MIN(1,$H18/$G18),0.5),IF(D18="On Hold",0.25,0)))))</f>
        <v/>
      </c>
      <c r="J18" s="22" t="n"/>
      <c r="K18" s="21" t="n"/>
    </row>
    <row r="19">
      <c r="A19" s="26" t="n"/>
      <c r="B19" s="26" t="n"/>
      <c r="C19" s="27" t="n"/>
      <c r="D19" s="27" t="n"/>
      <c r="E19" s="28" t="n"/>
      <c r="F19" s="28" t="n"/>
      <c r="G19" s="29" t="n"/>
      <c r="H19" s="29" t="n"/>
      <c r="I19" s="30">
        <f>IF($A19="","",IF(D19="Completed",1,IF(D19="Revising",0.9,IF(D19="In Progress",IF($G19&gt;0,MIN(1,$H19/$G19),0.5),IF(D19="On Hold",0.25,0)))))</f>
        <v/>
      </c>
      <c r="J19" s="27" t="n"/>
      <c r="K19" s="26" t="n"/>
    </row>
    <row r="20">
      <c r="A20" s="21" t="n"/>
      <c r="B20" s="21" t="n"/>
      <c r="C20" s="22" t="n"/>
      <c r="D20" s="22" t="n"/>
      <c r="E20" s="23" t="n"/>
      <c r="F20" s="23" t="n"/>
      <c r="G20" s="24" t="n"/>
      <c r="H20" s="24" t="n"/>
      <c r="I20" s="25">
        <f>IF($A20="","",IF(D20="Completed",1,IF(D20="Revising",0.9,IF(D20="In Progress",IF($G20&gt;0,MIN(1,$H20/$G20),0.5),IF(D20="On Hold",0.25,0)))))</f>
        <v/>
      </c>
      <c r="J20" s="22" t="n"/>
      <c r="K20" s="21" t="n"/>
    </row>
    <row r="21">
      <c r="A21" s="26" t="n"/>
      <c r="B21" s="26" t="n"/>
      <c r="C21" s="27" t="n"/>
      <c r="D21" s="27" t="n"/>
      <c r="E21" s="28" t="n"/>
      <c r="F21" s="28" t="n"/>
      <c r="G21" s="29" t="n"/>
      <c r="H21" s="29" t="n"/>
      <c r="I21" s="30">
        <f>IF($A21="","",IF(D21="Completed",1,IF(D21="Revising",0.9,IF(D21="In Progress",IF($G21&gt;0,MIN(1,$H21/$G21),0.5),IF(D21="On Hold",0.25,0)))))</f>
        <v/>
      </c>
      <c r="J21" s="27" t="n"/>
      <c r="K21" s="26" t="n"/>
    </row>
    <row r="22">
      <c r="A22" s="21" t="n"/>
      <c r="B22" s="21" t="n"/>
      <c r="C22" s="22" t="n"/>
      <c r="D22" s="22" t="n"/>
      <c r="E22" s="23" t="n"/>
      <c r="F22" s="23" t="n"/>
      <c r="G22" s="24" t="n"/>
      <c r="H22" s="24" t="n"/>
      <c r="I22" s="25">
        <f>IF($A22="","",IF(D22="Completed",1,IF(D22="Revising",0.9,IF(D22="In Progress",IF($G22&gt;0,MIN(1,$H22/$G22),0.5),IF(D22="On Hold",0.25,0)))))</f>
        <v/>
      </c>
      <c r="J22" s="22" t="n"/>
      <c r="K22" s="21" t="n"/>
    </row>
    <row r="23">
      <c r="A23" s="26" t="n"/>
      <c r="B23" s="26" t="n"/>
      <c r="C23" s="27" t="n"/>
      <c r="D23" s="27" t="n"/>
      <c r="E23" s="28" t="n"/>
      <c r="F23" s="28" t="n"/>
      <c r="G23" s="29" t="n"/>
      <c r="H23" s="29" t="n"/>
      <c r="I23" s="30">
        <f>IF($A23="","",IF(D23="Completed",1,IF(D23="Revising",0.9,IF(D23="In Progress",IF($G23&gt;0,MIN(1,$H23/$G23),0.5),IF(D23="On Hold",0.25,0)))))</f>
        <v/>
      </c>
      <c r="J23" s="27" t="n"/>
      <c r="K23" s="26" t="n"/>
    </row>
    <row r="24">
      <c r="A24" s="21" t="n"/>
      <c r="B24" s="21" t="n"/>
      <c r="C24" s="22" t="n"/>
      <c r="D24" s="22" t="n"/>
      <c r="E24" s="23" t="n"/>
      <c r="F24" s="23" t="n"/>
      <c r="G24" s="24" t="n"/>
      <c r="H24" s="24" t="n"/>
      <c r="I24" s="25">
        <f>IF($A24="","",IF(D24="Completed",1,IF(D24="Revising",0.9,IF(D24="In Progress",IF($G24&gt;0,MIN(1,$H24/$G24),0.5),IF(D24="On Hold",0.25,0)))))</f>
        <v/>
      </c>
      <c r="J24" s="22" t="n"/>
      <c r="K24" s="21" t="n"/>
    </row>
    <row r="25">
      <c r="A25" s="26" t="n"/>
      <c r="B25" s="26" t="n"/>
      <c r="C25" s="27" t="n"/>
      <c r="D25" s="27" t="n"/>
      <c r="E25" s="28" t="n"/>
      <c r="F25" s="28" t="n"/>
      <c r="G25" s="29" t="n"/>
      <c r="H25" s="29" t="n"/>
      <c r="I25" s="30">
        <f>IF($A25="","",IF(D25="Completed",1,IF(D25="Revising",0.9,IF(D25="In Progress",IF($G25&gt;0,MIN(1,$H25/$G25),0.5),IF(D25="On Hold",0.25,0)))))</f>
        <v/>
      </c>
      <c r="J25" s="27" t="n"/>
      <c r="K25" s="26" t="n"/>
    </row>
    <row r="26">
      <c r="A26" s="21" t="n"/>
      <c r="B26" s="21" t="n"/>
      <c r="C26" s="22" t="n"/>
      <c r="D26" s="22" t="n"/>
      <c r="E26" s="23" t="n"/>
      <c r="F26" s="23" t="n"/>
      <c r="G26" s="24" t="n"/>
      <c r="H26" s="24" t="n"/>
      <c r="I26" s="25">
        <f>IF($A26="","",IF(D26="Completed",1,IF(D26="Revising",0.9,IF(D26="In Progress",IF($G26&gt;0,MIN(1,$H26/$G26),0.5),IF(D26="On Hold",0.25,0)))))</f>
        <v/>
      </c>
      <c r="J26" s="22" t="n"/>
      <c r="K26" s="21" t="n"/>
    </row>
    <row r="27">
      <c r="A27" s="26" t="n"/>
      <c r="B27" s="26" t="n"/>
      <c r="C27" s="27" t="n"/>
      <c r="D27" s="27" t="n"/>
      <c r="E27" s="28" t="n"/>
      <c r="F27" s="28" t="n"/>
      <c r="G27" s="29" t="n"/>
      <c r="H27" s="29" t="n"/>
      <c r="I27" s="30">
        <f>IF($A27="","",IF(D27="Completed",1,IF(D27="Revising",0.9,IF(D27="In Progress",IF($G27&gt;0,MIN(1,$H27/$G27),0.5),IF(D27="On Hold",0.25,0)))))</f>
        <v/>
      </c>
      <c r="J27" s="27" t="n"/>
      <c r="K27" s="26" t="n"/>
    </row>
    <row r="28">
      <c r="A28" s="21" t="n"/>
      <c r="B28" s="21" t="n"/>
      <c r="C28" s="22" t="n"/>
      <c r="D28" s="22" t="n"/>
      <c r="E28" s="23" t="n"/>
      <c r="F28" s="23" t="n"/>
      <c r="G28" s="24" t="n"/>
      <c r="H28" s="24" t="n"/>
      <c r="I28" s="25">
        <f>IF($A28="","",IF(D28="Completed",1,IF(D28="Revising",0.9,IF(D28="In Progress",IF($G28&gt;0,MIN(1,$H28/$G28),0.5),IF(D28="On Hold",0.25,0)))))</f>
        <v/>
      </c>
      <c r="J28" s="22" t="n"/>
      <c r="K28" s="21" t="n"/>
    </row>
    <row r="29">
      <c r="A29" s="26" t="n"/>
      <c r="B29" s="26" t="n"/>
      <c r="C29" s="27" t="n"/>
      <c r="D29" s="27" t="n"/>
      <c r="E29" s="28" t="n"/>
      <c r="F29" s="28" t="n"/>
      <c r="G29" s="29" t="n"/>
      <c r="H29" s="29" t="n"/>
      <c r="I29" s="30">
        <f>IF($A29="","",IF(D29="Completed",1,IF(D29="Revising",0.9,IF(D29="In Progress",IF($G29&gt;0,MIN(1,$H29/$G29),0.5),IF(D29="On Hold",0.25,0)))))</f>
        <v/>
      </c>
      <c r="J29" s="27" t="n"/>
      <c r="K29" s="26" t="n"/>
    </row>
    <row r="30">
      <c r="A30" s="21" t="n"/>
      <c r="B30" s="21" t="n"/>
      <c r="C30" s="22" t="n"/>
      <c r="D30" s="22" t="n"/>
      <c r="E30" s="23" t="n"/>
      <c r="F30" s="23" t="n"/>
      <c r="G30" s="24" t="n"/>
      <c r="H30" s="24" t="n"/>
      <c r="I30" s="25">
        <f>IF($A30="","",IF(D30="Completed",1,IF(D30="Revising",0.9,IF(D30="In Progress",IF($G30&gt;0,MIN(1,$H30/$G30),0.5),IF(D30="On Hold",0.25,0)))))</f>
        <v/>
      </c>
      <c r="J30" s="22" t="n"/>
      <c r="K30" s="21" t="n"/>
    </row>
    <row r="31">
      <c r="A31" s="26" t="n"/>
      <c r="B31" s="26" t="n"/>
      <c r="C31" s="27" t="n"/>
      <c r="D31" s="27" t="n"/>
      <c r="E31" s="28" t="n"/>
      <c r="F31" s="28" t="n"/>
      <c r="G31" s="29" t="n"/>
      <c r="H31" s="29" t="n"/>
      <c r="I31" s="30">
        <f>IF($A31="","",IF(D31="Completed",1,IF(D31="Revising",0.9,IF(D31="In Progress",IF($G31&gt;0,MIN(1,$H31/$G31),0.5),IF(D31="On Hold",0.25,0)))))</f>
        <v/>
      </c>
      <c r="J31" s="27" t="n"/>
      <c r="K31" s="26" t="n"/>
    </row>
    <row r="32">
      <c r="A32" s="21" t="n"/>
      <c r="B32" s="21" t="n"/>
      <c r="C32" s="22" t="n"/>
      <c r="D32" s="22" t="n"/>
      <c r="E32" s="23" t="n"/>
      <c r="F32" s="23" t="n"/>
      <c r="G32" s="24" t="n"/>
      <c r="H32" s="24" t="n"/>
      <c r="I32" s="25">
        <f>IF($A32="","",IF(D32="Completed",1,IF(D32="Revising",0.9,IF(D32="In Progress",IF($G32&gt;0,MIN(1,$H32/$G32),0.5),IF(D32="On Hold",0.25,0)))))</f>
        <v/>
      </c>
      <c r="J32" s="22" t="n"/>
      <c r="K32" s="21" t="n"/>
    </row>
    <row r="33">
      <c r="A33" s="26" t="n"/>
      <c r="B33" s="26" t="n"/>
      <c r="C33" s="27" t="n"/>
      <c r="D33" s="27" t="n"/>
      <c r="E33" s="28" t="n"/>
      <c r="F33" s="28" t="n"/>
      <c r="G33" s="29" t="n"/>
      <c r="H33" s="29" t="n"/>
      <c r="I33" s="30">
        <f>IF($A33="","",IF(D33="Completed",1,IF(D33="Revising",0.9,IF(D33="In Progress",IF($G33&gt;0,MIN(1,$H33/$G33),0.5),IF(D33="On Hold",0.25,0)))))</f>
        <v/>
      </c>
      <c r="J33" s="27" t="n"/>
      <c r="K33" s="26" t="n"/>
    </row>
    <row r="34">
      <c r="A34" s="21" t="n"/>
      <c r="B34" s="21" t="n"/>
      <c r="C34" s="22" t="n"/>
      <c r="D34" s="22" t="n"/>
      <c r="E34" s="23" t="n"/>
      <c r="F34" s="23" t="n"/>
      <c r="G34" s="24" t="n"/>
      <c r="H34" s="24" t="n"/>
      <c r="I34" s="25">
        <f>IF($A34="","",IF(D34="Completed",1,IF(D34="Revising",0.9,IF(D34="In Progress",IF($G34&gt;0,MIN(1,$H34/$G34),0.5),IF(D34="On Hold",0.25,0)))))</f>
        <v/>
      </c>
      <c r="J34" s="22" t="n"/>
      <c r="K34" s="21" t="n"/>
    </row>
    <row r="35">
      <c r="A35" s="26" t="n"/>
      <c r="B35" s="26" t="n"/>
      <c r="C35" s="27" t="n"/>
      <c r="D35" s="27" t="n"/>
      <c r="E35" s="28" t="n"/>
      <c r="F35" s="28" t="n"/>
      <c r="G35" s="29" t="n"/>
      <c r="H35" s="29" t="n"/>
      <c r="I35" s="30">
        <f>IF($A35="","",IF(D35="Completed",1,IF(D35="Revising",0.9,IF(D35="In Progress",IF($G35&gt;0,MIN(1,$H35/$G35),0.5),IF(D35="On Hold",0.25,0)))))</f>
        <v/>
      </c>
      <c r="J35" s="27" t="n"/>
      <c r="K35" s="26" t="n"/>
    </row>
    <row r="36">
      <c r="A36" s="21" t="n"/>
      <c r="B36" s="21" t="n"/>
      <c r="C36" s="22" t="n"/>
      <c r="D36" s="22" t="n"/>
      <c r="E36" s="23" t="n"/>
      <c r="F36" s="23" t="n"/>
      <c r="G36" s="24" t="n"/>
      <c r="H36" s="24" t="n"/>
      <c r="I36" s="25">
        <f>IF($A36="","",IF(D36="Completed",1,IF(D36="Revising",0.9,IF(D36="In Progress",IF($G36&gt;0,MIN(1,$H36/$G36),0.5),IF(D36="On Hold",0.25,0)))))</f>
        <v/>
      </c>
      <c r="J36" s="22" t="n"/>
      <c r="K36" s="21" t="n"/>
    </row>
    <row r="37">
      <c r="A37" s="26" t="n"/>
      <c r="B37" s="26" t="n"/>
      <c r="C37" s="27" t="n"/>
      <c r="D37" s="27" t="n"/>
      <c r="E37" s="28" t="n"/>
      <c r="F37" s="28" t="n"/>
      <c r="G37" s="29" t="n"/>
      <c r="H37" s="29" t="n"/>
      <c r="I37" s="30">
        <f>IF($A37="","",IF(D37="Completed",1,IF(D37="Revising",0.9,IF(D37="In Progress",IF($G37&gt;0,MIN(1,$H37/$G37),0.5),IF(D37="On Hold",0.25,0)))))</f>
        <v/>
      </c>
      <c r="J37" s="27" t="n"/>
      <c r="K37" s="26" t="n"/>
    </row>
    <row r="38">
      <c r="A38" s="21" t="n"/>
      <c r="B38" s="21" t="n"/>
      <c r="C38" s="22" t="n"/>
      <c r="D38" s="22" t="n"/>
      <c r="E38" s="23" t="n"/>
      <c r="F38" s="23" t="n"/>
      <c r="G38" s="24" t="n"/>
      <c r="H38" s="24" t="n"/>
      <c r="I38" s="25">
        <f>IF($A38="","",IF(D38="Completed",1,IF(D38="Revising",0.9,IF(D38="In Progress",IF($G38&gt;0,MIN(1,$H38/$G38),0.5),IF(D38="On Hold",0.25,0)))))</f>
        <v/>
      </c>
      <c r="J38" s="22" t="n"/>
      <c r="K38" s="21" t="n"/>
    </row>
    <row r="39">
      <c r="A39" s="26" t="n"/>
      <c r="B39" s="26" t="n"/>
      <c r="C39" s="27" t="n"/>
      <c r="D39" s="27" t="n"/>
      <c r="E39" s="28" t="n"/>
      <c r="F39" s="28" t="n"/>
      <c r="G39" s="29" t="n"/>
      <c r="H39" s="29" t="n"/>
      <c r="I39" s="30">
        <f>IF($A39="","",IF(D39="Completed",1,IF(D39="Revising",0.9,IF(D39="In Progress",IF($G39&gt;0,MIN(1,$H39/$G39),0.5),IF(D39="On Hold",0.25,0)))))</f>
        <v/>
      </c>
      <c r="J39" s="27" t="n"/>
      <c r="K39" s="26" t="n"/>
    </row>
    <row r="40">
      <c r="A40" s="21" t="n"/>
      <c r="B40" s="21" t="n"/>
      <c r="C40" s="22" t="n"/>
      <c r="D40" s="22" t="n"/>
      <c r="E40" s="23" t="n"/>
      <c r="F40" s="23" t="n"/>
      <c r="G40" s="24" t="n"/>
      <c r="H40" s="24" t="n"/>
      <c r="I40" s="25">
        <f>IF($A40="","",IF(D40="Completed",1,IF(D40="Revising",0.9,IF(D40="In Progress",IF($G40&gt;0,MIN(1,$H40/$G40),0.5),IF(D40="On Hold",0.25,0)))))</f>
        <v/>
      </c>
      <c r="J40" s="22" t="n"/>
      <c r="K40" s="21" t="n"/>
    </row>
    <row r="41">
      <c r="A41" s="26" t="n"/>
      <c r="B41" s="26" t="n"/>
      <c r="C41" s="27" t="n"/>
      <c r="D41" s="27" t="n"/>
      <c r="E41" s="28" t="n"/>
      <c r="F41" s="28" t="n"/>
      <c r="G41" s="29" t="n"/>
      <c r="H41" s="29" t="n"/>
      <c r="I41" s="30">
        <f>IF($A41="","",IF(D41="Completed",1,IF(D41="Revising",0.9,IF(D41="In Progress",IF($G41&gt;0,MIN(1,$H41/$G41),0.5),IF(D41="On Hold",0.25,0)))))</f>
        <v/>
      </c>
      <c r="J41" s="27" t="n"/>
      <c r="K41" s="26" t="n"/>
    </row>
    <row r="42">
      <c r="A42" s="21" t="n"/>
      <c r="B42" s="21" t="n"/>
      <c r="C42" s="22" t="n"/>
      <c r="D42" s="22" t="n"/>
      <c r="E42" s="23" t="n"/>
      <c r="F42" s="23" t="n"/>
      <c r="G42" s="24" t="n"/>
      <c r="H42" s="24" t="n"/>
      <c r="I42" s="25">
        <f>IF($A42="","",IF(D42="Completed",1,IF(D42="Revising",0.9,IF(D42="In Progress",IF($G42&gt;0,MIN(1,$H42/$G42),0.5),IF(D42="On Hold",0.25,0)))))</f>
        <v/>
      </c>
      <c r="J42" s="22" t="n"/>
      <c r="K42" s="21" t="n"/>
    </row>
    <row r="43">
      <c r="A43" s="26" t="n"/>
      <c r="B43" s="26" t="n"/>
      <c r="C43" s="27" t="n"/>
      <c r="D43" s="27" t="n"/>
      <c r="E43" s="28" t="n"/>
      <c r="F43" s="28" t="n"/>
      <c r="G43" s="29" t="n"/>
      <c r="H43" s="29" t="n"/>
      <c r="I43" s="30">
        <f>IF($A43="","",IF(D43="Completed",1,IF(D43="Revising",0.9,IF(D43="In Progress",IF($G43&gt;0,MIN(1,$H43/$G43),0.5),IF(D43="On Hold",0.25,0)))))</f>
        <v/>
      </c>
      <c r="J43" s="27" t="n"/>
      <c r="K43" s="26" t="n"/>
    </row>
    <row r="44">
      <c r="A44" s="21" t="n"/>
      <c r="B44" s="21" t="n"/>
      <c r="C44" s="22" t="n"/>
      <c r="D44" s="22" t="n"/>
      <c r="E44" s="23" t="n"/>
      <c r="F44" s="23" t="n"/>
      <c r="G44" s="24" t="n"/>
      <c r="H44" s="24" t="n"/>
      <c r="I44" s="25">
        <f>IF($A44="","",IF(D44="Completed",1,IF(D44="Revising",0.9,IF(D44="In Progress",IF($G44&gt;0,MIN(1,$H44/$G44),0.5),IF(D44="On Hold",0.25,0)))))</f>
        <v/>
      </c>
      <c r="J44" s="22" t="n"/>
      <c r="K44" s="21" t="n"/>
    </row>
    <row r="45">
      <c r="A45" s="26" t="n"/>
      <c r="B45" s="26" t="n"/>
      <c r="C45" s="27" t="n"/>
      <c r="D45" s="27" t="n"/>
      <c r="E45" s="28" t="n"/>
      <c r="F45" s="28" t="n"/>
      <c r="G45" s="29" t="n"/>
      <c r="H45" s="29" t="n"/>
      <c r="I45" s="30">
        <f>IF($A45="","",IF(D45="Completed",1,IF(D45="Revising",0.9,IF(D45="In Progress",IF($G45&gt;0,MIN(1,$H45/$G45),0.5),IF(D45="On Hold",0.25,0)))))</f>
        <v/>
      </c>
      <c r="J45" s="27" t="n"/>
      <c r="K45" s="26" t="n"/>
    </row>
    <row r="46">
      <c r="A46" s="21" t="n"/>
      <c r="B46" s="21" t="n"/>
      <c r="C46" s="22" t="n"/>
      <c r="D46" s="22" t="n"/>
      <c r="E46" s="23" t="n"/>
      <c r="F46" s="23" t="n"/>
      <c r="G46" s="24" t="n"/>
      <c r="H46" s="24" t="n"/>
      <c r="I46" s="25">
        <f>IF($A46="","",IF(D46="Completed",1,IF(D46="Revising",0.9,IF(D46="In Progress",IF($G46&gt;0,MIN(1,$H46/$G46),0.5),IF(D46="On Hold",0.25,0)))))</f>
        <v/>
      </c>
      <c r="J46" s="22" t="n"/>
      <c r="K46" s="21" t="n"/>
    </row>
    <row r="47">
      <c r="A47" s="26" t="n"/>
      <c r="B47" s="26" t="n"/>
      <c r="C47" s="27" t="n"/>
      <c r="D47" s="27" t="n"/>
      <c r="E47" s="28" t="n"/>
      <c r="F47" s="28" t="n"/>
      <c r="G47" s="29" t="n"/>
      <c r="H47" s="29" t="n"/>
      <c r="I47" s="30">
        <f>IF($A47="","",IF(D47="Completed",1,IF(D47="Revising",0.9,IF(D47="In Progress",IF($G47&gt;0,MIN(1,$H47/$G47),0.5),IF(D47="On Hold",0.25,0)))))</f>
        <v/>
      </c>
      <c r="J47" s="27" t="n"/>
      <c r="K47" s="26" t="n"/>
    </row>
    <row r="48">
      <c r="A48" s="21" t="n"/>
      <c r="B48" s="21" t="n"/>
      <c r="C48" s="22" t="n"/>
      <c r="D48" s="22" t="n"/>
      <c r="E48" s="23" t="n"/>
      <c r="F48" s="23" t="n"/>
      <c r="G48" s="24" t="n"/>
      <c r="H48" s="24" t="n"/>
      <c r="I48" s="25">
        <f>IF($A48="","",IF(D48="Completed",1,IF(D48="Revising",0.9,IF(D48="In Progress",IF($G48&gt;0,MIN(1,$H48/$G48),0.5),IF(D48="On Hold",0.25,0)))))</f>
        <v/>
      </c>
      <c r="J48" s="22" t="n"/>
      <c r="K48" s="21" t="n"/>
    </row>
    <row r="49">
      <c r="A49" s="26" t="n"/>
      <c r="B49" s="26" t="n"/>
      <c r="C49" s="27" t="n"/>
      <c r="D49" s="27" t="n"/>
      <c r="E49" s="28" t="n"/>
      <c r="F49" s="28" t="n"/>
      <c r="G49" s="29" t="n"/>
      <c r="H49" s="29" t="n"/>
      <c r="I49" s="30">
        <f>IF($A49="","",IF(D49="Completed",1,IF(D49="Revising",0.9,IF(D49="In Progress",IF($G49&gt;0,MIN(1,$H49/$G49),0.5),IF(D49="On Hold",0.25,0)))))</f>
        <v/>
      </c>
      <c r="J49" s="27" t="n"/>
      <c r="K49" s="26" t="n"/>
    </row>
    <row r="50">
      <c r="A50" s="21" t="n"/>
      <c r="B50" s="21" t="n"/>
      <c r="C50" s="22" t="n"/>
      <c r="D50" s="22" t="n"/>
      <c r="E50" s="23" t="n"/>
      <c r="F50" s="23" t="n"/>
      <c r="G50" s="24" t="n"/>
      <c r="H50" s="24" t="n"/>
      <c r="I50" s="25">
        <f>IF($A50="","",IF(D50="Completed",1,IF(D50="Revising",0.9,IF(D50="In Progress",IF($G50&gt;0,MIN(1,$H50/$G50),0.5),IF(D50="On Hold",0.25,0)))))</f>
        <v/>
      </c>
      <c r="J50" s="22" t="n"/>
      <c r="K50" s="21" t="n"/>
    </row>
    <row r="51">
      <c r="A51" s="26" t="n"/>
      <c r="B51" s="26" t="n"/>
      <c r="C51" s="27" t="n"/>
      <c r="D51" s="27" t="n"/>
      <c r="E51" s="28" t="n"/>
      <c r="F51" s="28" t="n"/>
      <c r="G51" s="29" t="n"/>
      <c r="H51" s="29" t="n"/>
      <c r="I51" s="30">
        <f>IF($A51="","",IF(D51="Completed",1,IF(D51="Revising",0.9,IF(D51="In Progress",IF($G51&gt;0,MIN(1,$H51/$G51),0.5),IF(D51="On Hold",0.25,0)))))</f>
        <v/>
      </c>
      <c r="J51" s="27" t="n"/>
      <c r="K51" s="26" t="n"/>
    </row>
    <row r="52">
      <c r="A52" s="21" t="n"/>
      <c r="B52" s="21" t="n"/>
      <c r="C52" s="22" t="n"/>
      <c r="D52" s="22" t="n"/>
      <c r="E52" s="23" t="n"/>
      <c r="F52" s="23" t="n"/>
      <c r="G52" s="24" t="n"/>
      <c r="H52" s="24" t="n"/>
      <c r="I52" s="25">
        <f>IF($A52="","",IF(D52="Completed",1,IF(D52="Revising",0.9,IF(D52="In Progress",IF($G52&gt;0,MIN(1,$H52/$G52),0.5),IF(D52="On Hold",0.25,0)))))</f>
        <v/>
      </c>
      <c r="J52" s="22" t="n"/>
      <c r="K52" s="21" t="n"/>
    </row>
    <row r="53">
      <c r="A53" s="26" t="n"/>
      <c r="B53" s="26" t="n"/>
      <c r="C53" s="27" t="n"/>
      <c r="D53" s="27" t="n"/>
      <c r="E53" s="28" t="n"/>
      <c r="F53" s="28" t="n"/>
      <c r="G53" s="29" t="n"/>
      <c r="H53" s="29" t="n"/>
      <c r="I53" s="30">
        <f>IF($A53="","",IF(D53="Completed",1,IF(D53="Revising",0.9,IF(D53="In Progress",IF($G53&gt;0,MIN(1,$H53/$G53),0.5),IF(D53="On Hold",0.25,0)))))</f>
        <v/>
      </c>
      <c r="J53" s="27" t="n"/>
      <c r="K53" s="26" t="n"/>
    </row>
    <row r="54">
      <c r="A54" s="21" t="n"/>
      <c r="B54" s="21" t="n"/>
      <c r="C54" s="22" t="n"/>
      <c r="D54" s="22" t="n"/>
      <c r="E54" s="23" t="n"/>
      <c r="F54" s="23" t="n"/>
      <c r="G54" s="24" t="n"/>
      <c r="H54" s="24" t="n"/>
      <c r="I54" s="25">
        <f>IF($A54="","",IF(D54="Completed",1,IF(D54="Revising",0.9,IF(D54="In Progress",IF($G54&gt;0,MIN(1,$H54/$G54),0.5),IF(D54="On Hold",0.25,0)))))</f>
        <v/>
      </c>
      <c r="J54" s="22" t="n"/>
      <c r="K54" s="21" t="n"/>
    </row>
    <row r="55">
      <c r="A55" s="26" t="n"/>
      <c r="B55" s="26" t="n"/>
      <c r="C55" s="27" t="n"/>
      <c r="D55" s="27" t="n"/>
      <c r="E55" s="28" t="n"/>
      <c r="F55" s="28" t="n"/>
      <c r="G55" s="29" t="n"/>
      <c r="H55" s="29" t="n"/>
      <c r="I55" s="30">
        <f>IF($A55="","",IF(D55="Completed",1,IF(D55="Revising",0.9,IF(D55="In Progress",IF($G55&gt;0,MIN(1,$H55/$G55),0.5),IF(D55="On Hold",0.25,0)))))</f>
        <v/>
      </c>
      <c r="J55" s="27" t="n"/>
      <c r="K55" s="26" t="n"/>
    </row>
    <row r="56">
      <c r="A56" s="21" t="n"/>
      <c r="B56" s="21" t="n"/>
      <c r="C56" s="22" t="n"/>
      <c r="D56" s="22" t="n"/>
      <c r="E56" s="23" t="n"/>
      <c r="F56" s="23" t="n"/>
      <c r="G56" s="24" t="n"/>
      <c r="H56" s="24" t="n"/>
      <c r="I56" s="25">
        <f>IF($A56="","",IF(D56="Completed",1,IF(D56="Revising",0.9,IF(D56="In Progress",IF($G56&gt;0,MIN(1,$H56/$G56),0.5),IF(D56="On Hold",0.25,0)))))</f>
        <v/>
      </c>
      <c r="J56" s="22" t="n"/>
      <c r="K56" s="21" t="n"/>
    </row>
    <row r="57">
      <c r="A57" s="26" t="n"/>
      <c r="B57" s="26" t="n"/>
      <c r="C57" s="27" t="n"/>
      <c r="D57" s="27" t="n"/>
      <c r="E57" s="28" t="n"/>
      <c r="F57" s="28" t="n"/>
      <c r="G57" s="29" t="n"/>
      <c r="H57" s="29" t="n"/>
      <c r="I57" s="30">
        <f>IF($A57="","",IF(D57="Completed",1,IF(D57="Revising",0.9,IF(D57="In Progress",IF($G57&gt;0,MIN(1,$H57/$G57),0.5),IF(D57="On Hold",0.25,0)))))</f>
        <v/>
      </c>
      <c r="J57" s="27" t="n"/>
      <c r="K57" s="26" t="n"/>
    </row>
    <row r="58">
      <c r="A58" s="21" t="n"/>
      <c r="B58" s="21" t="n"/>
      <c r="C58" s="22" t="n"/>
      <c r="D58" s="22" t="n"/>
      <c r="E58" s="23" t="n"/>
      <c r="F58" s="23" t="n"/>
      <c r="G58" s="24" t="n"/>
      <c r="H58" s="24" t="n"/>
      <c r="I58" s="25">
        <f>IF($A58="","",IF(D58="Completed",1,IF(D58="Revising",0.9,IF(D58="In Progress",IF($G58&gt;0,MIN(1,$H58/$G58),0.5),IF(D58="On Hold",0.25,0)))))</f>
        <v/>
      </c>
      <c r="J58" s="22" t="n"/>
      <c r="K58" s="21" t="n"/>
    </row>
    <row r="59">
      <c r="A59" s="26" t="n"/>
      <c r="B59" s="26" t="n"/>
      <c r="C59" s="27" t="n"/>
      <c r="D59" s="27" t="n"/>
      <c r="E59" s="28" t="n"/>
      <c r="F59" s="28" t="n"/>
      <c r="G59" s="29" t="n"/>
      <c r="H59" s="29" t="n"/>
      <c r="I59" s="30">
        <f>IF($A59="","",IF(D59="Completed",1,IF(D59="Revising",0.9,IF(D59="In Progress",IF($G59&gt;0,MIN(1,$H59/$G59),0.5),IF(D59="On Hold",0.25,0)))))</f>
        <v/>
      </c>
      <c r="J59" s="27" t="n"/>
      <c r="K59" s="26" t="n"/>
    </row>
    <row r="60">
      <c r="A60" s="21" t="n"/>
      <c r="B60" s="21" t="n"/>
      <c r="C60" s="22" t="n"/>
      <c r="D60" s="22" t="n"/>
      <c r="E60" s="23" t="n"/>
      <c r="F60" s="23" t="n"/>
      <c r="G60" s="24" t="n"/>
      <c r="H60" s="24" t="n"/>
      <c r="I60" s="25">
        <f>IF($A60="","",IF(D60="Completed",1,IF(D60="Revising",0.9,IF(D60="In Progress",IF($G60&gt;0,MIN(1,$H60/$G60),0.5),IF(D60="On Hold",0.25,0)))))</f>
        <v/>
      </c>
      <c r="J60" s="22" t="n"/>
      <c r="K60" s="21" t="n"/>
    </row>
    <row r="61">
      <c r="A61" s="26" t="n"/>
      <c r="B61" s="26" t="n"/>
      <c r="C61" s="27" t="n"/>
      <c r="D61" s="27" t="n"/>
      <c r="E61" s="28" t="n"/>
      <c r="F61" s="28" t="n"/>
      <c r="G61" s="29" t="n"/>
      <c r="H61" s="29" t="n"/>
      <c r="I61" s="30">
        <f>IF($A61="","",IF(D61="Completed",1,IF(D61="Revising",0.9,IF(D61="In Progress",IF($G61&gt;0,MIN(1,$H61/$G61),0.5),IF(D61="On Hold",0.25,0)))))</f>
        <v/>
      </c>
      <c r="J61" s="27" t="n"/>
      <c r="K61" s="26" t="n"/>
    </row>
    <row r="62">
      <c r="A62" s="21" t="n"/>
      <c r="B62" s="21" t="n"/>
      <c r="C62" s="22" t="n"/>
      <c r="D62" s="22" t="n"/>
      <c r="E62" s="23" t="n"/>
      <c r="F62" s="23" t="n"/>
      <c r="G62" s="24" t="n"/>
      <c r="H62" s="24" t="n"/>
      <c r="I62" s="25">
        <f>IF($A62="","",IF(D62="Completed",1,IF(D62="Revising",0.9,IF(D62="In Progress",IF($G62&gt;0,MIN(1,$H62/$G62),0.5),IF(D62="On Hold",0.25,0)))))</f>
        <v/>
      </c>
      <c r="J62" s="22" t="n"/>
      <c r="K62" s="21" t="n"/>
    </row>
    <row r="63">
      <c r="A63" s="26" t="n"/>
      <c r="B63" s="26" t="n"/>
      <c r="C63" s="27" t="n"/>
      <c r="D63" s="27" t="n"/>
      <c r="E63" s="28" t="n"/>
      <c r="F63" s="28" t="n"/>
      <c r="G63" s="29" t="n"/>
      <c r="H63" s="29" t="n"/>
      <c r="I63" s="30">
        <f>IF($A63="","",IF(D63="Completed",1,IF(D63="Revising",0.9,IF(D63="In Progress",IF($G63&gt;0,MIN(1,$H63/$G63),0.5),IF(D63="On Hold",0.25,0)))))</f>
        <v/>
      </c>
      <c r="J63" s="27" t="n"/>
      <c r="K63" s="26" t="n"/>
    </row>
    <row r="64">
      <c r="A64" s="21" t="n"/>
      <c r="B64" s="21" t="n"/>
      <c r="C64" s="22" t="n"/>
      <c r="D64" s="22" t="n"/>
      <c r="E64" s="23" t="n"/>
      <c r="F64" s="23" t="n"/>
      <c r="G64" s="24" t="n"/>
      <c r="H64" s="24" t="n"/>
      <c r="I64" s="25">
        <f>IF($A64="","",IF(D64="Completed",1,IF(D64="Revising",0.9,IF(D64="In Progress",IF($G64&gt;0,MIN(1,$H64/$G64),0.5),IF(D64="On Hold",0.25,0)))))</f>
        <v/>
      </c>
      <c r="J64" s="22" t="n"/>
      <c r="K64" s="21" t="n"/>
    </row>
    <row r="65">
      <c r="A65" s="26" t="n"/>
      <c r="B65" s="26" t="n"/>
      <c r="C65" s="27" t="n"/>
      <c r="D65" s="27" t="n"/>
      <c r="E65" s="28" t="n"/>
      <c r="F65" s="28" t="n"/>
      <c r="G65" s="29" t="n"/>
      <c r="H65" s="29" t="n"/>
      <c r="I65" s="30">
        <f>IF($A65="","",IF(D65="Completed",1,IF(D65="Revising",0.9,IF(D65="In Progress",IF($G65&gt;0,MIN(1,$H65/$G65),0.5),IF(D65="On Hold",0.25,0)))))</f>
        <v/>
      </c>
      <c r="J65" s="27" t="n"/>
      <c r="K65" s="26" t="n"/>
    </row>
    <row r="66">
      <c r="A66" s="21" t="n"/>
      <c r="B66" s="21" t="n"/>
      <c r="C66" s="22" t="n"/>
      <c r="D66" s="22" t="n"/>
      <c r="E66" s="23" t="n"/>
      <c r="F66" s="23" t="n"/>
      <c r="G66" s="24" t="n"/>
      <c r="H66" s="24" t="n"/>
      <c r="I66" s="25">
        <f>IF($A66="","",IF(D66="Completed",1,IF(D66="Revising",0.9,IF(D66="In Progress",IF($G66&gt;0,MIN(1,$H66/$G66),0.5),IF(D66="On Hold",0.25,0)))))</f>
        <v/>
      </c>
      <c r="J66" s="22" t="n"/>
      <c r="K66" s="21" t="n"/>
    </row>
    <row r="67">
      <c r="A67" s="26" t="n"/>
      <c r="B67" s="26" t="n"/>
      <c r="C67" s="27" t="n"/>
      <c r="D67" s="27" t="n"/>
      <c r="E67" s="28" t="n"/>
      <c r="F67" s="28" t="n"/>
      <c r="G67" s="29" t="n"/>
      <c r="H67" s="29" t="n"/>
      <c r="I67" s="30">
        <f>IF($A67="","",IF(D67="Completed",1,IF(D67="Revising",0.9,IF(D67="In Progress",IF($G67&gt;0,MIN(1,$H67/$G67),0.5),IF(D67="On Hold",0.25,0)))))</f>
        <v/>
      </c>
      <c r="J67" s="27" t="n"/>
      <c r="K67" s="26" t="n"/>
    </row>
    <row r="68">
      <c r="A68" s="21" t="n"/>
      <c r="B68" s="21" t="n"/>
      <c r="C68" s="22" t="n"/>
      <c r="D68" s="22" t="n"/>
      <c r="E68" s="23" t="n"/>
      <c r="F68" s="23" t="n"/>
      <c r="G68" s="24" t="n"/>
      <c r="H68" s="24" t="n"/>
      <c r="I68" s="25">
        <f>IF($A68="","",IF(D68="Completed",1,IF(D68="Revising",0.9,IF(D68="In Progress",IF($G68&gt;0,MIN(1,$H68/$G68),0.5),IF(D68="On Hold",0.25,0)))))</f>
        <v/>
      </c>
      <c r="J68" s="22" t="n"/>
      <c r="K68" s="21" t="n"/>
    </row>
    <row r="69">
      <c r="A69" s="26" t="n"/>
      <c r="B69" s="26" t="n"/>
      <c r="C69" s="27" t="n"/>
      <c r="D69" s="27" t="n"/>
      <c r="E69" s="28" t="n"/>
      <c r="F69" s="28" t="n"/>
      <c r="G69" s="29" t="n"/>
      <c r="H69" s="29" t="n"/>
      <c r="I69" s="30">
        <f>IF($A69="","",IF(D69="Completed",1,IF(D69="Revising",0.9,IF(D69="In Progress",IF($G69&gt;0,MIN(1,$H69/$G69),0.5),IF(D69="On Hold",0.25,0)))))</f>
        <v/>
      </c>
      <c r="J69" s="27" t="n"/>
      <c r="K69" s="26" t="n"/>
    </row>
    <row r="70">
      <c r="A70" s="21" t="n"/>
      <c r="B70" s="21" t="n"/>
      <c r="C70" s="22" t="n"/>
      <c r="D70" s="22" t="n"/>
      <c r="E70" s="23" t="n"/>
      <c r="F70" s="23" t="n"/>
      <c r="G70" s="24" t="n"/>
      <c r="H70" s="24" t="n"/>
      <c r="I70" s="25">
        <f>IF($A70="","",IF(D70="Completed",1,IF(D70="Revising",0.9,IF(D70="In Progress",IF($G70&gt;0,MIN(1,$H70/$G70),0.5),IF(D70="On Hold",0.25,0)))))</f>
        <v/>
      </c>
      <c r="J70" s="22" t="n"/>
      <c r="K70" s="21" t="n"/>
    </row>
    <row r="71">
      <c r="A71" s="26" t="n"/>
      <c r="B71" s="26" t="n"/>
      <c r="C71" s="27" t="n"/>
      <c r="D71" s="27" t="n"/>
      <c r="E71" s="28" t="n"/>
      <c r="F71" s="28" t="n"/>
      <c r="G71" s="29" t="n"/>
      <c r="H71" s="29" t="n"/>
      <c r="I71" s="30">
        <f>IF($A71="","",IF(D71="Completed",1,IF(D71="Revising",0.9,IF(D71="In Progress",IF($G71&gt;0,MIN(1,$H71/$G71),0.5),IF(D71="On Hold",0.25,0)))))</f>
        <v/>
      </c>
      <c r="J71" s="27" t="n"/>
      <c r="K71" s="26" t="n"/>
    </row>
    <row r="72">
      <c r="A72" s="21" t="n"/>
      <c r="B72" s="21" t="n"/>
      <c r="C72" s="22" t="n"/>
      <c r="D72" s="22" t="n"/>
      <c r="E72" s="23" t="n"/>
      <c r="F72" s="23" t="n"/>
      <c r="G72" s="24" t="n"/>
      <c r="H72" s="24" t="n"/>
      <c r="I72" s="25">
        <f>IF($A72="","",IF(D72="Completed",1,IF(D72="Revising",0.9,IF(D72="In Progress",IF($G72&gt;0,MIN(1,$H72/$G72),0.5),IF(D72="On Hold",0.25,0)))))</f>
        <v/>
      </c>
      <c r="J72" s="22" t="n"/>
      <c r="K72" s="21" t="n"/>
    </row>
    <row r="73">
      <c r="A73" s="26" t="n"/>
      <c r="B73" s="26" t="n"/>
      <c r="C73" s="27" t="n"/>
      <c r="D73" s="27" t="n"/>
      <c r="E73" s="28" t="n"/>
      <c r="F73" s="28" t="n"/>
      <c r="G73" s="29" t="n"/>
      <c r="H73" s="29" t="n"/>
      <c r="I73" s="30">
        <f>IF($A73="","",IF(D73="Completed",1,IF(D73="Revising",0.9,IF(D73="In Progress",IF($G73&gt;0,MIN(1,$H73/$G73),0.5),IF(D73="On Hold",0.25,0)))))</f>
        <v/>
      </c>
      <c r="J73" s="27" t="n"/>
      <c r="K73" s="26" t="n"/>
    </row>
    <row r="74">
      <c r="A74" s="21" t="n"/>
      <c r="B74" s="21" t="n"/>
      <c r="C74" s="22" t="n"/>
      <c r="D74" s="22" t="n"/>
      <c r="E74" s="23" t="n"/>
      <c r="F74" s="23" t="n"/>
      <c r="G74" s="24" t="n"/>
      <c r="H74" s="24" t="n"/>
      <c r="I74" s="25">
        <f>IF($A74="","",IF(D74="Completed",1,IF(D74="Revising",0.9,IF(D74="In Progress",IF($G74&gt;0,MIN(1,$H74/$G74),0.5),IF(D74="On Hold",0.25,0)))))</f>
        <v/>
      </c>
      <c r="J74" s="22" t="n"/>
      <c r="K74" s="21" t="n"/>
    </row>
    <row r="75">
      <c r="A75" s="26" t="n"/>
      <c r="B75" s="26" t="n"/>
      <c r="C75" s="27" t="n"/>
      <c r="D75" s="27" t="n"/>
      <c r="E75" s="28" t="n"/>
      <c r="F75" s="28" t="n"/>
      <c r="G75" s="29" t="n"/>
      <c r="H75" s="29" t="n"/>
      <c r="I75" s="30">
        <f>IF($A75="","",IF(D75="Completed",1,IF(D75="Revising",0.9,IF(D75="In Progress",IF($G75&gt;0,MIN(1,$H75/$G75),0.5),IF(D75="On Hold",0.25,0)))))</f>
        <v/>
      </c>
      <c r="J75" s="27" t="n"/>
      <c r="K75" s="26" t="n"/>
    </row>
    <row r="76">
      <c r="A76" s="21" t="n"/>
      <c r="B76" s="21" t="n"/>
      <c r="C76" s="22" t="n"/>
      <c r="D76" s="22" t="n"/>
      <c r="E76" s="23" t="n"/>
      <c r="F76" s="23" t="n"/>
      <c r="G76" s="24" t="n"/>
      <c r="H76" s="24" t="n"/>
      <c r="I76" s="25">
        <f>IF($A76="","",IF(D76="Completed",1,IF(D76="Revising",0.9,IF(D76="In Progress",IF($G76&gt;0,MIN(1,$H76/$G76),0.5),IF(D76="On Hold",0.25,0)))))</f>
        <v/>
      </c>
      <c r="J76" s="22" t="n"/>
      <c r="K76" s="21" t="n"/>
    </row>
    <row r="77">
      <c r="A77" s="26" t="n"/>
      <c r="B77" s="26" t="n"/>
      <c r="C77" s="27" t="n"/>
      <c r="D77" s="27" t="n"/>
      <c r="E77" s="28" t="n"/>
      <c r="F77" s="28" t="n"/>
      <c r="G77" s="29" t="n"/>
      <c r="H77" s="29" t="n"/>
      <c r="I77" s="30">
        <f>IF($A77="","",IF(D77="Completed",1,IF(D77="Revising",0.9,IF(D77="In Progress",IF($G77&gt;0,MIN(1,$H77/$G77),0.5),IF(D77="On Hold",0.25,0)))))</f>
        <v/>
      </c>
      <c r="J77" s="27" t="n"/>
      <c r="K77" s="26" t="n"/>
    </row>
    <row r="78">
      <c r="A78" s="21" t="n"/>
      <c r="B78" s="21" t="n"/>
      <c r="C78" s="22" t="n"/>
      <c r="D78" s="22" t="n"/>
      <c r="E78" s="23" t="n"/>
      <c r="F78" s="23" t="n"/>
      <c r="G78" s="24" t="n"/>
      <c r="H78" s="24" t="n"/>
      <c r="I78" s="25">
        <f>IF($A78="","",IF(D78="Completed",1,IF(D78="Revising",0.9,IF(D78="In Progress",IF($G78&gt;0,MIN(1,$H78/$G78),0.5),IF(D78="On Hold",0.25,0)))))</f>
        <v/>
      </c>
      <c r="J78" s="22" t="n"/>
      <c r="K78" s="21" t="n"/>
    </row>
    <row r="79">
      <c r="A79" s="26" t="n"/>
      <c r="B79" s="26" t="n"/>
      <c r="C79" s="27" t="n"/>
      <c r="D79" s="27" t="n"/>
      <c r="E79" s="28" t="n"/>
      <c r="F79" s="28" t="n"/>
      <c r="G79" s="29" t="n"/>
      <c r="H79" s="29" t="n"/>
      <c r="I79" s="30">
        <f>IF($A79="","",IF(D79="Completed",1,IF(D79="Revising",0.9,IF(D79="In Progress",IF($G79&gt;0,MIN(1,$H79/$G79),0.5),IF(D79="On Hold",0.25,0)))))</f>
        <v/>
      </c>
      <c r="J79" s="27" t="n"/>
      <c r="K79" s="26" t="n"/>
    </row>
    <row r="80">
      <c r="A80" s="21" t="n"/>
      <c r="B80" s="21" t="n"/>
      <c r="C80" s="22" t="n"/>
      <c r="D80" s="22" t="n"/>
      <c r="E80" s="23" t="n"/>
      <c r="F80" s="23" t="n"/>
      <c r="G80" s="24" t="n"/>
      <c r="H80" s="24" t="n"/>
      <c r="I80" s="25">
        <f>IF($A80="","",IF(D80="Completed",1,IF(D80="Revising",0.9,IF(D80="In Progress",IF($G80&gt;0,MIN(1,$H80/$G80),0.5),IF(D80="On Hold",0.25,0)))))</f>
        <v/>
      </c>
      <c r="J80" s="22" t="n"/>
      <c r="K80" s="21" t="n"/>
    </row>
    <row r="81">
      <c r="A81" s="26" t="n"/>
      <c r="B81" s="26" t="n"/>
      <c r="C81" s="27" t="n"/>
      <c r="D81" s="27" t="n"/>
      <c r="E81" s="28" t="n"/>
      <c r="F81" s="28" t="n"/>
      <c r="G81" s="29" t="n"/>
      <c r="H81" s="29" t="n"/>
      <c r="I81" s="30">
        <f>IF($A81="","",IF(D81="Completed",1,IF(D81="Revising",0.9,IF(D81="In Progress",IF($G81&gt;0,MIN(1,$H81/$G81),0.5),IF(D81="On Hold",0.25,0)))))</f>
        <v/>
      </c>
      <c r="J81" s="27" t="n"/>
      <c r="K81" s="26" t="n"/>
    </row>
    <row r="82">
      <c r="A82" s="21" t="n"/>
      <c r="B82" s="21" t="n"/>
      <c r="C82" s="22" t="n"/>
      <c r="D82" s="22" t="n"/>
      <c r="E82" s="23" t="n"/>
      <c r="F82" s="23" t="n"/>
      <c r="G82" s="24" t="n"/>
      <c r="H82" s="24" t="n"/>
      <c r="I82" s="25">
        <f>IF($A82="","",IF(D82="Completed",1,IF(D82="Revising",0.9,IF(D82="In Progress",IF($G82&gt;0,MIN(1,$H82/$G82),0.5),IF(D82="On Hold",0.25,0)))))</f>
        <v/>
      </c>
      <c r="J82" s="22" t="n"/>
      <c r="K82" s="21" t="n"/>
    </row>
    <row r="83">
      <c r="A83" s="26" t="n"/>
      <c r="B83" s="26" t="n"/>
      <c r="C83" s="27" t="n"/>
      <c r="D83" s="27" t="n"/>
      <c r="E83" s="28" t="n"/>
      <c r="F83" s="28" t="n"/>
      <c r="G83" s="29" t="n"/>
      <c r="H83" s="29" t="n"/>
      <c r="I83" s="30">
        <f>IF($A83="","",IF(D83="Completed",1,IF(D83="Revising",0.9,IF(D83="In Progress",IF($G83&gt;0,MIN(1,$H83/$G83),0.5),IF(D83="On Hold",0.25,0)))))</f>
        <v/>
      </c>
      <c r="J83" s="27" t="n"/>
      <c r="K83" s="26" t="n"/>
    </row>
    <row r="84">
      <c r="A84" s="21" t="n"/>
      <c r="B84" s="21" t="n"/>
      <c r="C84" s="22" t="n"/>
      <c r="D84" s="22" t="n"/>
      <c r="E84" s="23" t="n"/>
      <c r="F84" s="23" t="n"/>
      <c r="G84" s="24" t="n"/>
      <c r="H84" s="24" t="n"/>
      <c r="I84" s="25">
        <f>IF($A84="","",IF(D84="Completed",1,IF(D84="Revising",0.9,IF(D84="In Progress",IF($G84&gt;0,MIN(1,$H84/$G84),0.5),IF(D84="On Hold",0.25,0)))))</f>
        <v/>
      </c>
      <c r="J84" s="22" t="n"/>
      <c r="K84" s="21" t="n"/>
    </row>
    <row r="85">
      <c r="A85" s="26" t="n"/>
      <c r="B85" s="26" t="n"/>
      <c r="C85" s="27" t="n"/>
      <c r="D85" s="27" t="n"/>
      <c r="E85" s="28" t="n"/>
      <c r="F85" s="28" t="n"/>
      <c r="G85" s="29" t="n"/>
      <c r="H85" s="29" t="n"/>
      <c r="I85" s="30">
        <f>IF($A85="","",IF(D85="Completed",1,IF(D85="Revising",0.9,IF(D85="In Progress",IF($G85&gt;0,MIN(1,$H85/$G85),0.5),IF(D85="On Hold",0.25,0)))))</f>
        <v/>
      </c>
      <c r="J85" s="27" t="n"/>
      <c r="K85" s="26" t="n"/>
    </row>
    <row r="86">
      <c r="A86" s="21" t="n"/>
      <c r="B86" s="21" t="n"/>
      <c r="C86" s="22" t="n"/>
      <c r="D86" s="22" t="n"/>
      <c r="E86" s="23" t="n"/>
      <c r="F86" s="23" t="n"/>
      <c r="G86" s="24" t="n"/>
      <c r="H86" s="24" t="n"/>
      <c r="I86" s="25">
        <f>IF($A86="","",IF(D86="Completed",1,IF(D86="Revising",0.9,IF(D86="In Progress",IF($G86&gt;0,MIN(1,$H86/$G86),0.5),IF(D86="On Hold",0.25,0)))))</f>
        <v/>
      </c>
      <c r="J86" s="22" t="n"/>
      <c r="K86" s="21" t="n"/>
    </row>
    <row r="87">
      <c r="A87" s="26" t="n"/>
      <c r="B87" s="26" t="n"/>
      <c r="C87" s="27" t="n"/>
      <c r="D87" s="27" t="n"/>
      <c r="E87" s="28" t="n"/>
      <c r="F87" s="28" t="n"/>
      <c r="G87" s="29" t="n"/>
      <c r="H87" s="29" t="n"/>
      <c r="I87" s="30">
        <f>IF($A87="","",IF(D87="Completed",1,IF(D87="Revising",0.9,IF(D87="In Progress",IF($G87&gt;0,MIN(1,$H87/$G87),0.5),IF(D87="On Hold",0.25,0)))))</f>
        <v/>
      </c>
      <c r="J87" s="27" t="n"/>
      <c r="K87" s="26" t="n"/>
    </row>
    <row r="88">
      <c r="A88" s="21" t="n"/>
      <c r="B88" s="21" t="n"/>
      <c r="C88" s="22" t="n"/>
      <c r="D88" s="22" t="n"/>
      <c r="E88" s="23" t="n"/>
      <c r="F88" s="23" t="n"/>
      <c r="G88" s="24" t="n"/>
      <c r="H88" s="24" t="n"/>
      <c r="I88" s="25">
        <f>IF($A88="","",IF(D88="Completed",1,IF(D88="Revising",0.9,IF(D88="In Progress",IF($G88&gt;0,MIN(1,$H88/$G88),0.5),IF(D88="On Hold",0.25,0)))))</f>
        <v/>
      </c>
      <c r="J88" s="22" t="n"/>
      <c r="K88" s="21" t="n"/>
    </row>
    <row r="89">
      <c r="A89" s="26" t="n"/>
      <c r="B89" s="26" t="n"/>
      <c r="C89" s="27" t="n"/>
      <c r="D89" s="27" t="n"/>
      <c r="E89" s="28" t="n"/>
      <c r="F89" s="28" t="n"/>
      <c r="G89" s="29" t="n"/>
      <c r="H89" s="29" t="n"/>
      <c r="I89" s="30">
        <f>IF($A89="","",IF(D89="Completed",1,IF(D89="Revising",0.9,IF(D89="In Progress",IF($G89&gt;0,MIN(1,$H89/$G89),0.5),IF(D89="On Hold",0.25,0)))))</f>
        <v/>
      </c>
      <c r="J89" s="27" t="n"/>
      <c r="K89" s="26" t="n"/>
    </row>
    <row r="90">
      <c r="A90" s="21" t="n"/>
      <c r="B90" s="21" t="n"/>
      <c r="C90" s="22" t="n"/>
      <c r="D90" s="22" t="n"/>
      <c r="E90" s="23" t="n"/>
      <c r="F90" s="23" t="n"/>
      <c r="G90" s="24" t="n"/>
      <c r="H90" s="24" t="n"/>
      <c r="I90" s="25">
        <f>IF($A90="","",IF(D90="Completed",1,IF(D90="Revising",0.9,IF(D90="In Progress",IF($G90&gt;0,MIN(1,$H90/$G90),0.5),IF(D90="On Hold",0.25,0)))))</f>
        <v/>
      </c>
      <c r="J90" s="22" t="n"/>
      <c r="K90" s="21" t="n"/>
    </row>
    <row r="91">
      <c r="A91" s="26" t="n"/>
      <c r="B91" s="26" t="n"/>
      <c r="C91" s="27" t="n"/>
      <c r="D91" s="27" t="n"/>
      <c r="E91" s="28" t="n"/>
      <c r="F91" s="28" t="n"/>
      <c r="G91" s="29" t="n"/>
      <c r="H91" s="29" t="n"/>
      <c r="I91" s="30">
        <f>IF($A91="","",IF(D91="Completed",1,IF(D91="Revising",0.9,IF(D91="In Progress",IF($G91&gt;0,MIN(1,$H91/$G91),0.5),IF(D91="On Hold",0.25,0)))))</f>
        <v/>
      </c>
      <c r="J91" s="27" t="n"/>
      <c r="K91" s="26" t="n"/>
    </row>
    <row r="92">
      <c r="A92" s="21" t="n"/>
      <c r="B92" s="21" t="n"/>
      <c r="C92" s="22" t="n"/>
      <c r="D92" s="22" t="n"/>
      <c r="E92" s="23" t="n"/>
      <c r="F92" s="23" t="n"/>
      <c r="G92" s="24" t="n"/>
      <c r="H92" s="24" t="n"/>
      <c r="I92" s="25">
        <f>IF($A92="","",IF(D92="Completed",1,IF(D92="Revising",0.9,IF(D92="In Progress",IF($G92&gt;0,MIN(1,$H92/$G92),0.5),IF(D92="On Hold",0.25,0)))))</f>
        <v/>
      </c>
      <c r="J92" s="22" t="n"/>
      <c r="K92" s="21" t="n"/>
    </row>
    <row r="93">
      <c r="A93" s="26" t="n"/>
      <c r="B93" s="26" t="n"/>
      <c r="C93" s="27" t="n"/>
      <c r="D93" s="27" t="n"/>
      <c r="E93" s="28" t="n"/>
      <c r="F93" s="28" t="n"/>
      <c r="G93" s="29" t="n"/>
      <c r="H93" s="29" t="n"/>
      <c r="I93" s="30">
        <f>IF($A93="","",IF(D93="Completed",1,IF(D93="Revising",0.9,IF(D93="In Progress",IF($G93&gt;0,MIN(1,$H93/$G93),0.5),IF(D93="On Hold",0.25,0)))))</f>
        <v/>
      </c>
      <c r="J93" s="27" t="n"/>
      <c r="K93" s="26" t="n"/>
    </row>
    <row r="94">
      <c r="A94" s="21" t="n"/>
      <c r="B94" s="21" t="n"/>
      <c r="C94" s="22" t="n"/>
      <c r="D94" s="22" t="n"/>
      <c r="E94" s="23" t="n"/>
      <c r="F94" s="23" t="n"/>
      <c r="G94" s="24" t="n"/>
      <c r="H94" s="24" t="n"/>
      <c r="I94" s="25">
        <f>IF($A94="","",IF(D94="Completed",1,IF(D94="Revising",0.9,IF(D94="In Progress",IF($G94&gt;0,MIN(1,$H94/$G94),0.5),IF(D94="On Hold",0.25,0)))))</f>
        <v/>
      </c>
      <c r="J94" s="22" t="n"/>
      <c r="K94" s="21" t="n"/>
    </row>
    <row r="95">
      <c r="A95" s="26" t="n"/>
      <c r="B95" s="26" t="n"/>
      <c r="C95" s="27" t="n"/>
      <c r="D95" s="27" t="n"/>
      <c r="E95" s="28" t="n"/>
      <c r="F95" s="28" t="n"/>
      <c r="G95" s="29" t="n"/>
      <c r="H95" s="29" t="n"/>
      <c r="I95" s="30">
        <f>IF($A95="","",IF(D95="Completed",1,IF(D95="Revising",0.9,IF(D95="In Progress",IF($G95&gt;0,MIN(1,$H95/$G95),0.5),IF(D95="On Hold",0.25,0)))))</f>
        <v/>
      </c>
      <c r="J95" s="27" t="n"/>
      <c r="K95" s="26" t="n"/>
    </row>
    <row r="96">
      <c r="A96" s="21" t="n"/>
      <c r="B96" s="21" t="n"/>
      <c r="C96" s="22" t="n"/>
      <c r="D96" s="22" t="n"/>
      <c r="E96" s="23" t="n"/>
      <c r="F96" s="23" t="n"/>
      <c r="G96" s="24" t="n"/>
      <c r="H96" s="24" t="n"/>
      <c r="I96" s="25">
        <f>IF($A96="","",IF(D96="Completed",1,IF(D96="Revising",0.9,IF(D96="In Progress",IF($G96&gt;0,MIN(1,$H96/$G96),0.5),IF(D96="On Hold",0.25,0)))))</f>
        <v/>
      </c>
      <c r="J96" s="22" t="n"/>
      <c r="K96" s="21" t="n"/>
    </row>
    <row r="97">
      <c r="A97" s="26" t="n"/>
      <c r="B97" s="26" t="n"/>
      <c r="C97" s="27" t="n"/>
      <c r="D97" s="27" t="n"/>
      <c r="E97" s="28" t="n"/>
      <c r="F97" s="28" t="n"/>
      <c r="G97" s="29" t="n"/>
      <c r="H97" s="29" t="n"/>
      <c r="I97" s="30">
        <f>IF($A97="","",IF(D97="Completed",1,IF(D97="Revising",0.9,IF(D97="In Progress",IF($G97&gt;0,MIN(1,$H97/$G97),0.5),IF(D97="On Hold",0.25,0)))))</f>
        <v/>
      </c>
      <c r="J97" s="27" t="n"/>
      <c r="K97" s="26" t="n"/>
    </row>
    <row r="98">
      <c r="A98" s="21" t="n"/>
      <c r="B98" s="21" t="n"/>
      <c r="C98" s="22" t="n"/>
      <c r="D98" s="22" t="n"/>
      <c r="E98" s="23" t="n"/>
      <c r="F98" s="23" t="n"/>
      <c r="G98" s="24" t="n"/>
      <c r="H98" s="24" t="n"/>
      <c r="I98" s="25">
        <f>IF($A98="","",IF(D98="Completed",1,IF(D98="Revising",0.9,IF(D98="In Progress",IF($G98&gt;0,MIN(1,$H98/$G98),0.5),IF(D98="On Hold",0.25,0)))))</f>
        <v/>
      </c>
      <c r="J98" s="22" t="n"/>
      <c r="K98" s="21" t="n"/>
    </row>
    <row r="99">
      <c r="A99" s="26" t="n"/>
      <c r="B99" s="26" t="n"/>
      <c r="C99" s="27" t="n"/>
      <c r="D99" s="27" t="n"/>
      <c r="E99" s="28" t="n"/>
      <c r="F99" s="28" t="n"/>
      <c r="G99" s="29" t="n"/>
      <c r="H99" s="29" t="n"/>
      <c r="I99" s="30">
        <f>IF($A99="","",IF(D99="Completed",1,IF(D99="Revising",0.9,IF(D99="In Progress",IF($G99&gt;0,MIN(1,$H99/$G99),0.5),IF(D99="On Hold",0.25,0)))))</f>
        <v/>
      </c>
      <c r="J99" s="27" t="n"/>
      <c r="K99" s="26" t="n"/>
    </row>
    <row r="100">
      <c r="A100" s="21" t="n"/>
      <c r="B100" s="21" t="n"/>
      <c r="C100" s="22" t="n"/>
      <c r="D100" s="22" t="n"/>
      <c r="E100" s="23" t="n"/>
      <c r="F100" s="23" t="n"/>
      <c r="G100" s="24" t="n"/>
      <c r="H100" s="24" t="n"/>
      <c r="I100" s="25">
        <f>IF($A100="","",IF(D100="Completed",1,IF(D100="Revising",0.9,IF(D100="In Progress",IF($G100&gt;0,MIN(1,$H100/$G100),0.5),IF(D100="On Hold",0.25,0)))))</f>
        <v/>
      </c>
      <c r="J100" s="22" t="n"/>
      <c r="K100" s="21" t="n"/>
    </row>
    <row r="101">
      <c r="A101" s="26" t="n"/>
      <c r="B101" s="26" t="n"/>
      <c r="C101" s="27" t="n"/>
      <c r="D101" s="27" t="n"/>
      <c r="E101" s="28" t="n"/>
      <c r="F101" s="28" t="n"/>
      <c r="G101" s="29" t="n"/>
      <c r="H101" s="29" t="n"/>
      <c r="I101" s="30">
        <f>IF($A101="","",IF(D101="Completed",1,IF(D101="Revising",0.9,IF(D101="In Progress",IF($G101&gt;0,MIN(1,$H101/$G101),0.5),IF(D101="On Hold",0.25,0)))))</f>
        <v/>
      </c>
      <c r="J101" s="27" t="n"/>
      <c r="K101" s="26" t="n"/>
    </row>
    <row r="102">
      <c r="A102" s="21" t="n"/>
      <c r="B102" s="21" t="n"/>
      <c r="C102" s="22" t="n"/>
      <c r="D102" s="22" t="n"/>
      <c r="E102" s="23" t="n"/>
      <c r="F102" s="23" t="n"/>
      <c r="G102" s="24" t="n"/>
      <c r="H102" s="24" t="n"/>
      <c r="I102" s="25">
        <f>IF($A102="","",IF(D102="Completed",1,IF(D102="Revising",0.9,IF(D102="In Progress",IF($G102&gt;0,MIN(1,$H102/$G102),0.5),IF(D102="On Hold",0.25,0)))))</f>
        <v/>
      </c>
      <c r="J102" s="22" t="n"/>
      <c r="K102" s="21" t="n"/>
    </row>
    <row r="103">
      <c r="A103" s="26" t="n"/>
      <c r="B103" s="26" t="n"/>
      <c r="C103" s="27" t="n"/>
      <c r="D103" s="27" t="n"/>
      <c r="E103" s="28" t="n"/>
      <c r="F103" s="28" t="n"/>
      <c r="G103" s="29" t="n"/>
      <c r="H103" s="29" t="n"/>
      <c r="I103" s="30">
        <f>IF($A103="","",IF(D103="Completed",1,IF(D103="Revising",0.9,IF(D103="In Progress",IF($G103&gt;0,MIN(1,$H103/$G103),0.5),IF(D103="On Hold",0.25,0)))))</f>
        <v/>
      </c>
      <c r="J103" s="27" t="n"/>
      <c r="K103" s="26" t="n"/>
    </row>
    <row r="104">
      <c r="A104" s="21" t="n"/>
      <c r="B104" s="21" t="n"/>
      <c r="C104" s="22" t="n"/>
      <c r="D104" s="22" t="n"/>
      <c r="E104" s="23" t="n"/>
      <c r="F104" s="23" t="n"/>
      <c r="G104" s="24" t="n"/>
      <c r="H104" s="24" t="n"/>
      <c r="I104" s="25">
        <f>IF($A104="","",IF(D104="Completed",1,IF(D104="Revising",0.9,IF(D104="In Progress",IF($G104&gt;0,MIN(1,$H104/$G104),0.5),IF(D104="On Hold",0.25,0)))))</f>
        <v/>
      </c>
      <c r="J104" s="22" t="n"/>
      <c r="K104" s="21" t="n"/>
    </row>
    <row r="105">
      <c r="A105" s="26" t="n"/>
      <c r="B105" s="26" t="n"/>
      <c r="C105" s="27" t="n"/>
      <c r="D105" s="27" t="n"/>
      <c r="E105" s="28" t="n"/>
      <c r="F105" s="28" t="n"/>
      <c r="G105" s="29" t="n"/>
      <c r="H105" s="29" t="n"/>
      <c r="I105" s="30">
        <f>IF($A105="","",IF(D105="Completed",1,IF(D105="Revising",0.9,IF(D105="In Progress",IF($G105&gt;0,MIN(1,$H105/$G105),0.5),IF(D105="On Hold",0.25,0)))))</f>
        <v/>
      </c>
      <c r="J105" s="27" t="n"/>
      <c r="K105" s="26" t="n"/>
    </row>
    <row r="106">
      <c r="A106" s="21" t="n"/>
      <c r="B106" s="21" t="n"/>
      <c r="C106" s="22" t="n"/>
      <c r="D106" s="22" t="n"/>
      <c r="E106" s="23" t="n"/>
      <c r="F106" s="23" t="n"/>
      <c r="G106" s="24" t="n"/>
      <c r="H106" s="24" t="n"/>
      <c r="I106" s="25">
        <f>IF($A106="","",IF(D106="Completed",1,IF(D106="Revising",0.9,IF(D106="In Progress",IF($G106&gt;0,MIN(1,$H106/$G106),0.5),IF(D106="On Hold",0.25,0)))))</f>
        <v/>
      </c>
      <c r="J106" s="22" t="n"/>
      <c r="K106" s="21" t="n"/>
    </row>
    <row r="107">
      <c r="A107" s="26" t="n"/>
      <c r="B107" s="26" t="n"/>
      <c r="C107" s="27" t="n"/>
      <c r="D107" s="27" t="n"/>
      <c r="E107" s="28" t="n"/>
      <c r="F107" s="28" t="n"/>
      <c r="G107" s="29" t="n"/>
      <c r="H107" s="29" t="n"/>
      <c r="I107" s="30">
        <f>IF($A107="","",IF(D107="Completed",1,IF(D107="Revising",0.9,IF(D107="In Progress",IF($G107&gt;0,MIN(1,$H107/$G107),0.5),IF(D107="On Hold",0.25,0)))))</f>
        <v/>
      </c>
      <c r="J107" s="27" t="n"/>
      <c r="K107" s="26" t="n"/>
    </row>
    <row r="108">
      <c r="A108" s="21" t="n"/>
      <c r="B108" s="21" t="n"/>
      <c r="C108" s="22" t="n"/>
      <c r="D108" s="22" t="n"/>
      <c r="E108" s="23" t="n"/>
      <c r="F108" s="23" t="n"/>
      <c r="G108" s="24" t="n"/>
      <c r="H108" s="24" t="n"/>
      <c r="I108" s="25">
        <f>IF($A108="","",IF(D108="Completed",1,IF(D108="Revising",0.9,IF(D108="In Progress",IF($G108&gt;0,MIN(1,$H108/$G108),0.5),IF(D108="On Hold",0.25,0)))))</f>
        <v/>
      </c>
      <c r="J108" s="22" t="n"/>
      <c r="K108" s="21" t="n"/>
    </row>
    <row r="109">
      <c r="A109" s="26" t="n"/>
      <c r="B109" s="26" t="n"/>
      <c r="C109" s="27" t="n"/>
      <c r="D109" s="27" t="n"/>
      <c r="E109" s="28" t="n"/>
      <c r="F109" s="28" t="n"/>
      <c r="G109" s="29" t="n"/>
      <c r="H109" s="29" t="n"/>
      <c r="I109" s="30">
        <f>IF($A109="","",IF(D109="Completed",1,IF(D109="Revising",0.9,IF(D109="In Progress",IF($G109&gt;0,MIN(1,$H109/$G109),0.5),IF(D109="On Hold",0.25,0)))))</f>
        <v/>
      </c>
      <c r="J109" s="27" t="n"/>
      <c r="K109" s="26" t="n"/>
    </row>
    <row r="110">
      <c r="A110" s="21" t="n"/>
      <c r="B110" s="21" t="n"/>
      <c r="C110" s="22" t="n"/>
      <c r="D110" s="22" t="n"/>
      <c r="E110" s="23" t="n"/>
      <c r="F110" s="23" t="n"/>
      <c r="G110" s="24" t="n"/>
      <c r="H110" s="24" t="n"/>
      <c r="I110" s="25">
        <f>IF($A110="","",IF(D110="Completed",1,IF(D110="Revising",0.9,IF(D110="In Progress",IF($G110&gt;0,MIN(1,$H110/$G110),0.5),IF(D110="On Hold",0.25,0)))))</f>
        <v/>
      </c>
      <c r="J110" s="22" t="n"/>
      <c r="K110" s="21" t="n"/>
    </row>
    <row r="111">
      <c r="A111" s="26" t="n"/>
      <c r="B111" s="26" t="n"/>
      <c r="C111" s="27" t="n"/>
      <c r="D111" s="27" t="n"/>
      <c r="E111" s="28" t="n"/>
      <c r="F111" s="28" t="n"/>
      <c r="G111" s="29" t="n"/>
      <c r="H111" s="29" t="n"/>
      <c r="I111" s="30">
        <f>IF($A111="","",IF(D111="Completed",1,IF(D111="Revising",0.9,IF(D111="In Progress",IF($G111&gt;0,MIN(1,$H111/$G111),0.5),IF(D111="On Hold",0.25,0)))))</f>
        <v/>
      </c>
      <c r="J111" s="27" t="n"/>
      <c r="K111" s="26" t="n"/>
    </row>
    <row r="112">
      <c r="A112" s="21" t="n"/>
      <c r="B112" s="21" t="n"/>
      <c r="C112" s="22" t="n"/>
      <c r="D112" s="22" t="n"/>
      <c r="E112" s="23" t="n"/>
      <c r="F112" s="23" t="n"/>
      <c r="G112" s="24" t="n"/>
      <c r="H112" s="24" t="n"/>
      <c r="I112" s="25">
        <f>IF($A112="","",IF(D112="Completed",1,IF(D112="Revising",0.9,IF(D112="In Progress",IF($G112&gt;0,MIN(1,$H112/$G112),0.5),IF(D112="On Hold",0.25,0)))))</f>
        <v/>
      </c>
      <c r="J112" s="22" t="n"/>
      <c r="K112" s="21" t="n"/>
    </row>
    <row r="113">
      <c r="A113" s="26" t="n"/>
      <c r="B113" s="26" t="n"/>
      <c r="C113" s="27" t="n"/>
      <c r="D113" s="27" t="n"/>
      <c r="E113" s="28" t="n"/>
      <c r="F113" s="28" t="n"/>
      <c r="G113" s="29" t="n"/>
      <c r="H113" s="29" t="n"/>
      <c r="I113" s="30">
        <f>IF($A113="","",IF(D113="Completed",1,IF(D113="Revising",0.9,IF(D113="In Progress",IF($G113&gt;0,MIN(1,$H113/$G113),0.5),IF(D113="On Hold",0.25,0)))))</f>
        <v/>
      </c>
      <c r="J113" s="27" t="n"/>
      <c r="K113" s="26" t="n"/>
    </row>
    <row r="114">
      <c r="A114" s="21" t="n"/>
      <c r="B114" s="21" t="n"/>
      <c r="C114" s="22" t="n"/>
      <c r="D114" s="22" t="n"/>
      <c r="E114" s="23" t="n"/>
      <c r="F114" s="23" t="n"/>
      <c r="G114" s="24" t="n"/>
      <c r="H114" s="24" t="n"/>
      <c r="I114" s="25">
        <f>IF($A114="","",IF(D114="Completed",1,IF(D114="Revising",0.9,IF(D114="In Progress",IF($G114&gt;0,MIN(1,$H114/$G114),0.5),IF(D114="On Hold",0.25,0)))))</f>
        <v/>
      </c>
      <c r="J114" s="22" t="n"/>
      <c r="K114" s="21" t="n"/>
    </row>
    <row r="115">
      <c r="A115" s="26" t="n"/>
      <c r="B115" s="26" t="n"/>
      <c r="C115" s="27" t="n"/>
      <c r="D115" s="27" t="n"/>
      <c r="E115" s="28" t="n"/>
      <c r="F115" s="28" t="n"/>
      <c r="G115" s="29" t="n"/>
      <c r="H115" s="29" t="n"/>
      <c r="I115" s="30">
        <f>IF($A115="","",IF(D115="Completed",1,IF(D115="Revising",0.9,IF(D115="In Progress",IF($G115&gt;0,MIN(1,$H115/$G115),0.5),IF(D115="On Hold",0.25,0)))))</f>
        <v/>
      </c>
      <c r="J115" s="27" t="n"/>
      <c r="K115" s="26" t="n"/>
    </row>
    <row r="116">
      <c r="A116" s="21" t="n"/>
      <c r="B116" s="21" t="n"/>
      <c r="C116" s="22" t="n"/>
      <c r="D116" s="22" t="n"/>
      <c r="E116" s="23" t="n"/>
      <c r="F116" s="23" t="n"/>
      <c r="G116" s="24" t="n"/>
      <c r="H116" s="24" t="n"/>
      <c r="I116" s="25">
        <f>IF($A116="","",IF(D116="Completed",1,IF(D116="Revising",0.9,IF(D116="In Progress",IF($G116&gt;0,MIN(1,$H116/$G116),0.5),IF(D116="On Hold",0.25,0)))))</f>
        <v/>
      </c>
      <c r="J116" s="22" t="n"/>
      <c r="K116" s="21" t="n"/>
    </row>
    <row r="117">
      <c r="A117" s="26" t="n"/>
      <c r="B117" s="26" t="n"/>
      <c r="C117" s="27" t="n"/>
      <c r="D117" s="27" t="n"/>
      <c r="E117" s="28" t="n"/>
      <c r="F117" s="28" t="n"/>
      <c r="G117" s="29" t="n"/>
      <c r="H117" s="29" t="n"/>
      <c r="I117" s="30">
        <f>IF($A117="","",IF(D117="Completed",1,IF(D117="Revising",0.9,IF(D117="In Progress",IF($G117&gt;0,MIN(1,$H117/$G117),0.5),IF(D117="On Hold",0.25,0)))))</f>
        <v/>
      </c>
      <c r="J117" s="27" t="n"/>
      <c r="K117" s="26" t="n"/>
    </row>
    <row r="118">
      <c r="A118" s="21" t="n"/>
      <c r="B118" s="21" t="n"/>
      <c r="C118" s="22" t="n"/>
      <c r="D118" s="22" t="n"/>
      <c r="E118" s="23" t="n"/>
      <c r="F118" s="23" t="n"/>
      <c r="G118" s="24" t="n"/>
      <c r="H118" s="24" t="n"/>
      <c r="I118" s="25">
        <f>IF($A118="","",IF(D118="Completed",1,IF(D118="Revising",0.9,IF(D118="In Progress",IF($G118&gt;0,MIN(1,$H118/$G118),0.5),IF(D118="On Hold",0.25,0)))))</f>
        <v/>
      </c>
      <c r="J118" s="22" t="n"/>
      <c r="K118" s="21" t="n"/>
    </row>
    <row r="119">
      <c r="A119" s="26" t="n"/>
      <c r="B119" s="26" t="n"/>
      <c r="C119" s="27" t="n"/>
      <c r="D119" s="27" t="n"/>
      <c r="E119" s="28" t="n"/>
      <c r="F119" s="28" t="n"/>
      <c r="G119" s="29" t="n"/>
      <c r="H119" s="29" t="n"/>
      <c r="I119" s="30">
        <f>IF($A119="","",IF(D119="Completed",1,IF(D119="Revising",0.9,IF(D119="In Progress",IF($G119&gt;0,MIN(1,$H119/$G119),0.5),IF(D119="On Hold",0.25,0)))))</f>
        <v/>
      </c>
      <c r="J119" s="27" t="n"/>
      <c r="K119" s="26" t="n"/>
    </row>
    <row r="120">
      <c r="A120" s="21" t="n"/>
      <c r="B120" s="21" t="n"/>
      <c r="C120" s="22" t="n"/>
      <c r="D120" s="22" t="n"/>
      <c r="E120" s="23" t="n"/>
      <c r="F120" s="23" t="n"/>
      <c r="G120" s="24" t="n"/>
      <c r="H120" s="24" t="n"/>
      <c r="I120" s="25">
        <f>IF($A120="","",IF(D120="Completed",1,IF(D120="Revising",0.9,IF(D120="In Progress",IF($G120&gt;0,MIN(1,$H120/$G120),0.5),IF(D120="On Hold",0.25,0)))))</f>
        <v/>
      </c>
      <c r="J120" s="22" t="n"/>
      <c r="K120" s="21" t="n"/>
    </row>
    <row r="121">
      <c r="A121" s="26" t="n"/>
      <c r="B121" s="26" t="n"/>
      <c r="C121" s="27" t="n"/>
      <c r="D121" s="27" t="n"/>
      <c r="E121" s="28" t="n"/>
      <c r="F121" s="28" t="n"/>
      <c r="G121" s="29" t="n"/>
      <c r="H121" s="29" t="n"/>
      <c r="I121" s="30">
        <f>IF($A121="","",IF(D121="Completed",1,IF(D121="Revising",0.9,IF(D121="In Progress",IF($G121&gt;0,MIN(1,$H121/$G121),0.5),IF(D121="On Hold",0.25,0)))))</f>
        <v/>
      </c>
      <c r="J121" s="27" t="n"/>
      <c r="K121" s="26" t="n"/>
    </row>
    <row r="122">
      <c r="A122" s="21" t="n"/>
      <c r="B122" s="21" t="n"/>
      <c r="C122" s="22" t="n"/>
      <c r="D122" s="22" t="n"/>
      <c r="E122" s="23" t="n"/>
      <c r="F122" s="23" t="n"/>
      <c r="G122" s="24" t="n"/>
      <c r="H122" s="24" t="n"/>
      <c r="I122" s="25">
        <f>IF($A122="","",IF(D122="Completed",1,IF(D122="Revising",0.9,IF(D122="In Progress",IF($G122&gt;0,MIN(1,$H122/$G122),0.5),IF(D122="On Hold",0.25,0)))))</f>
        <v/>
      </c>
      <c r="J122" s="22" t="n"/>
      <c r="K122" s="21" t="n"/>
    </row>
    <row r="123">
      <c r="A123" s="26" t="n"/>
      <c r="B123" s="26" t="n"/>
      <c r="C123" s="27" t="n"/>
      <c r="D123" s="27" t="n"/>
      <c r="E123" s="28" t="n"/>
      <c r="F123" s="28" t="n"/>
      <c r="G123" s="29" t="n"/>
      <c r="H123" s="29" t="n"/>
      <c r="I123" s="30">
        <f>IF($A123="","",IF(D123="Completed",1,IF(D123="Revising",0.9,IF(D123="In Progress",IF($G123&gt;0,MIN(1,$H123/$G123),0.5),IF(D123="On Hold",0.25,0)))))</f>
        <v/>
      </c>
      <c r="J123" s="27" t="n"/>
      <c r="K123" s="26" t="n"/>
    </row>
    <row r="124">
      <c r="A124" s="21" t="n"/>
      <c r="B124" s="21" t="n"/>
      <c r="C124" s="22" t="n"/>
      <c r="D124" s="22" t="n"/>
      <c r="E124" s="23" t="n"/>
      <c r="F124" s="23" t="n"/>
      <c r="G124" s="24" t="n"/>
      <c r="H124" s="24" t="n"/>
      <c r="I124" s="25">
        <f>IF($A124="","",IF(D124="Completed",1,IF(D124="Revising",0.9,IF(D124="In Progress",IF($G124&gt;0,MIN(1,$H124/$G124),0.5),IF(D124="On Hold",0.25,0)))))</f>
        <v/>
      </c>
      <c r="J124" s="22" t="n"/>
      <c r="K124" s="21" t="n"/>
    </row>
    <row r="125">
      <c r="A125" s="26" t="n"/>
      <c r="B125" s="26" t="n"/>
      <c r="C125" s="27" t="n"/>
      <c r="D125" s="27" t="n"/>
      <c r="E125" s="28" t="n"/>
      <c r="F125" s="28" t="n"/>
      <c r="G125" s="29" t="n"/>
      <c r="H125" s="29" t="n"/>
      <c r="I125" s="30">
        <f>IF($A125="","",IF(D125="Completed",1,IF(D125="Revising",0.9,IF(D125="In Progress",IF($G125&gt;0,MIN(1,$H125/$G125),0.5),IF(D125="On Hold",0.25,0)))))</f>
        <v/>
      </c>
      <c r="J125" s="27" t="n"/>
      <c r="K125" s="26" t="n"/>
    </row>
    <row r="126">
      <c r="A126" s="21" t="n"/>
      <c r="B126" s="21" t="n"/>
      <c r="C126" s="22" t="n"/>
      <c r="D126" s="22" t="n"/>
      <c r="E126" s="23" t="n"/>
      <c r="F126" s="23" t="n"/>
      <c r="G126" s="24" t="n"/>
      <c r="H126" s="24" t="n"/>
      <c r="I126" s="25">
        <f>IF($A126="","",IF(D126="Completed",1,IF(D126="Revising",0.9,IF(D126="In Progress",IF($G126&gt;0,MIN(1,$H126/$G126),0.5),IF(D126="On Hold",0.25,0)))))</f>
        <v/>
      </c>
      <c r="J126" s="22" t="n"/>
      <c r="K126" s="21" t="n"/>
    </row>
    <row r="127">
      <c r="A127" s="26" t="n"/>
      <c r="B127" s="26" t="n"/>
      <c r="C127" s="27" t="n"/>
      <c r="D127" s="27" t="n"/>
      <c r="E127" s="28" t="n"/>
      <c r="F127" s="28" t="n"/>
      <c r="G127" s="29" t="n"/>
      <c r="H127" s="29" t="n"/>
      <c r="I127" s="30">
        <f>IF($A127="","",IF(D127="Completed",1,IF(D127="Revising",0.9,IF(D127="In Progress",IF($G127&gt;0,MIN(1,$H127/$G127),0.5),IF(D127="On Hold",0.25,0)))))</f>
        <v/>
      </c>
      <c r="J127" s="27" t="n"/>
      <c r="K127" s="26" t="n"/>
    </row>
    <row r="128">
      <c r="A128" s="21" t="n"/>
      <c r="B128" s="21" t="n"/>
      <c r="C128" s="22" t="n"/>
      <c r="D128" s="22" t="n"/>
      <c r="E128" s="23" t="n"/>
      <c r="F128" s="23" t="n"/>
      <c r="G128" s="24" t="n"/>
      <c r="H128" s="24" t="n"/>
      <c r="I128" s="25">
        <f>IF($A128="","",IF(D128="Completed",1,IF(D128="Revising",0.9,IF(D128="In Progress",IF($G128&gt;0,MIN(1,$H128/$G128),0.5),IF(D128="On Hold",0.25,0)))))</f>
        <v/>
      </c>
      <c r="J128" s="22" t="n"/>
      <c r="K128" s="21" t="n"/>
    </row>
    <row r="129">
      <c r="A129" s="26" t="n"/>
      <c r="B129" s="26" t="n"/>
      <c r="C129" s="27" t="n"/>
      <c r="D129" s="27" t="n"/>
      <c r="E129" s="28" t="n"/>
      <c r="F129" s="28" t="n"/>
      <c r="G129" s="29" t="n"/>
      <c r="H129" s="29" t="n"/>
      <c r="I129" s="30">
        <f>IF($A129="","",IF(D129="Completed",1,IF(D129="Revising",0.9,IF(D129="In Progress",IF($G129&gt;0,MIN(1,$H129/$G129),0.5),IF(D129="On Hold",0.25,0)))))</f>
        <v/>
      </c>
      <c r="J129" s="27" t="n"/>
      <c r="K129" s="26" t="n"/>
    </row>
    <row r="130">
      <c r="A130" s="21" t="n"/>
      <c r="B130" s="21" t="n"/>
      <c r="C130" s="22" t="n"/>
      <c r="D130" s="22" t="n"/>
      <c r="E130" s="23" t="n"/>
      <c r="F130" s="23" t="n"/>
      <c r="G130" s="24" t="n"/>
      <c r="H130" s="24" t="n"/>
      <c r="I130" s="25">
        <f>IF($A130="","",IF(D130="Completed",1,IF(D130="Revising",0.9,IF(D130="In Progress",IF($G130&gt;0,MIN(1,$H130/$G130),0.5),IF(D130="On Hold",0.25,0)))))</f>
        <v/>
      </c>
      <c r="J130" s="22" t="n"/>
      <c r="K130" s="21" t="n"/>
    </row>
    <row r="131">
      <c r="A131" s="26" t="n"/>
      <c r="B131" s="26" t="n"/>
      <c r="C131" s="27" t="n"/>
      <c r="D131" s="27" t="n"/>
      <c r="E131" s="28" t="n"/>
      <c r="F131" s="28" t="n"/>
      <c r="G131" s="29" t="n"/>
      <c r="H131" s="29" t="n"/>
      <c r="I131" s="30">
        <f>IF($A131="","",IF(D131="Completed",1,IF(D131="Revising",0.9,IF(D131="In Progress",IF($G131&gt;0,MIN(1,$H131/$G131),0.5),IF(D131="On Hold",0.25,0)))))</f>
        <v/>
      </c>
      <c r="J131" s="27" t="n"/>
      <c r="K131" s="26" t="n"/>
    </row>
    <row r="132">
      <c r="A132" s="21" t="n"/>
      <c r="B132" s="21" t="n"/>
      <c r="C132" s="22" t="n"/>
      <c r="D132" s="22" t="n"/>
      <c r="E132" s="23" t="n"/>
      <c r="F132" s="23" t="n"/>
      <c r="G132" s="24" t="n"/>
      <c r="H132" s="24" t="n"/>
      <c r="I132" s="25">
        <f>IF($A132="","",IF(D132="Completed",1,IF(D132="Revising",0.9,IF(D132="In Progress",IF($G132&gt;0,MIN(1,$H132/$G132),0.5),IF(D132="On Hold",0.25,0)))))</f>
        <v/>
      </c>
      <c r="J132" s="22" t="n"/>
      <c r="K132" s="21" t="n"/>
    </row>
    <row r="133">
      <c r="A133" s="26" t="n"/>
      <c r="B133" s="26" t="n"/>
      <c r="C133" s="27" t="n"/>
      <c r="D133" s="27" t="n"/>
      <c r="E133" s="28" t="n"/>
      <c r="F133" s="28" t="n"/>
      <c r="G133" s="29" t="n"/>
      <c r="H133" s="29" t="n"/>
      <c r="I133" s="30">
        <f>IF($A133="","",IF(D133="Completed",1,IF(D133="Revising",0.9,IF(D133="In Progress",IF($G133&gt;0,MIN(1,$H133/$G133),0.5),IF(D133="On Hold",0.25,0)))))</f>
        <v/>
      </c>
      <c r="J133" s="27" t="n"/>
      <c r="K133" s="26" t="n"/>
    </row>
    <row r="134">
      <c r="A134" s="21" t="n"/>
      <c r="B134" s="21" t="n"/>
      <c r="C134" s="22" t="n"/>
      <c r="D134" s="22" t="n"/>
      <c r="E134" s="23" t="n"/>
      <c r="F134" s="23" t="n"/>
      <c r="G134" s="24" t="n"/>
      <c r="H134" s="24" t="n"/>
      <c r="I134" s="25">
        <f>IF($A134="","",IF(D134="Completed",1,IF(D134="Revising",0.9,IF(D134="In Progress",IF($G134&gt;0,MIN(1,$H134/$G134),0.5),IF(D134="On Hold",0.25,0)))))</f>
        <v/>
      </c>
      <c r="J134" s="22" t="n"/>
      <c r="K134" s="21" t="n"/>
    </row>
    <row r="135">
      <c r="A135" s="26" t="n"/>
      <c r="B135" s="26" t="n"/>
      <c r="C135" s="27" t="n"/>
      <c r="D135" s="27" t="n"/>
      <c r="E135" s="28" t="n"/>
      <c r="F135" s="28" t="n"/>
      <c r="G135" s="29" t="n"/>
      <c r="H135" s="29" t="n"/>
      <c r="I135" s="30">
        <f>IF($A135="","",IF(D135="Completed",1,IF(D135="Revising",0.9,IF(D135="In Progress",IF($G135&gt;0,MIN(1,$H135/$G135),0.5),IF(D135="On Hold",0.25,0)))))</f>
        <v/>
      </c>
      <c r="J135" s="27" t="n"/>
      <c r="K135" s="26" t="n"/>
    </row>
    <row r="136">
      <c r="A136" s="21" t="n"/>
      <c r="B136" s="21" t="n"/>
      <c r="C136" s="22" t="n"/>
      <c r="D136" s="22" t="n"/>
      <c r="E136" s="23" t="n"/>
      <c r="F136" s="23" t="n"/>
      <c r="G136" s="24" t="n"/>
      <c r="H136" s="24" t="n"/>
      <c r="I136" s="25">
        <f>IF($A136="","",IF(D136="Completed",1,IF(D136="Revising",0.9,IF(D136="In Progress",IF($G136&gt;0,MIN(1,$H136/$G136),0.5),IF(D136="On Hold",0.25,0)))))</f>
        <v/>
      </c>
      <c r="J136" s="22" t="n"/>
      <c r="K136" s="21" t="n"/>
    </row>
    <row r="137">
      <c r="A137" s="26" t="n"/>
      <c r="B137" s="26" t="n"/>
      <c r="C137" s="27" t="n"/>
      <c r="D137" s="27" t="n"/>
      <c r="E137" s="28" t="n"/>
      <c r="F137" s="28" t="n"/>
      <c r="G137" s="29" t="n"/>
      <c r="H137" s="29" t="n"/>
      <c r="I137" s="30">
        <f>IF($A137="","",IF(D137="Completed",1,IF(D137="Revising",0.9,IF(D137="In Progress",IF($G137&gt;0,MIN(1,$H137/$G137),0.5),IF(D137="On Hold",0.25,0)))))</f>
        <v/>
      </c>
      <c r="J137" s="27" t="n"/>
      <c r="K137" s="26" t="n"/>
    </row>
    <row r="138">
      <c r="A138" s="21" t="n"/>
      <c r="B138" s="21" t="n"/>
      <c r="C138" s="22" t="n"/>
      <c r="D138" s="22" t="n"/>
      <c r="E138" s="23" t="n"/>
      <c r="F138" s="23" t="n"/>
      <c r="G138" s="24" t="n"/>
      <c r="H138" s="24" t="n"/>
      <c r="I138" s="25">
        <f>IF($A138="","",IF(D138="Completed",1,IF(D138="Revising",0.9,IF(D138="In Progress",IF($G138&gt;0,MIN(1,$H138/$G138),0.5),IF(D138="On Hold",0.25,0)))))</f>
        <v/>
      </c>
      <c r="J138" s="22" t="n"/>
      <c r="K138" s="21" t="n"/>
    </row>
    <row r="139">
      <c r="A139" s="26" t="n"/>
      <c r="B139" s="26" t="n"/>
      <c r="C139" s="27" t="n"/>
      <c r="D139" s="27" t="n"/>
      <c r="E139" s="28" t="n"/>
      <c r="F139" s="28" t="n"/>
      <c r="G139" s="29" t="n"/>
      <c r="H139" s="29" t="n"/>
      <c r="I139" s="30">
        <f>IF($A139="","",IF(D139="Completed",1,IF(D139="Revising",0.9,IF(D139="In Progress",IF($G139&gt;0,MIN(1,$H139/$G139),0.5),IF(D139="On Hold",0.25,0)))))</f>
        <v/>
      </c>
      <c r="J139" s="27" t="n"/>
      <c r="K139" s="26" t="n"/>
    </row>
    <row r="140">
      <c r="A140" s="21" t="n"/>
      <c r="B140" s="21" t="n"/>
      <c r="C140" s="22" t="n"/>
      <c r="D140" s="22" t="n"/>
      <c r="E140" s="23" t="n"/>
      <c r="F140" s="23" t="n"/>
      <c r="G140" s="24" t="n"/>
      <c r="H140" s="24" t="n"/>
      <c r="I140" s="25">
        <f>IF($A140="","",IF(D140="Completed",1,IF(D140="Revising",0.9,IF(D140="In Progress",IF($G140&gt;0,MIN(1,$H140/$G140),0.5),IF(D140="On Hold",0.25,0)))))</f>
        <v/>
      </c>
      <c r="J140" s="22" t="n"/>
      <c r="K140" s="21" t="n"/>
    </row>
    <row r="141">
      <c r="A141" s="26" t="n"/>
      <c r="B141" s="26" t="n"/>
      <c r="C141" s="27" t="n"/>
      <c r="D141" s="27" t="n"/>
      <c r="E141" s="28" t="n"/>
      <c r="F141" s="28" t="n"/>
      <c r="G141" s="29" t="n"/>
      <c r="H141" s="29" t="n"/>
      <c r="I141" s="30">
        <f>IF($A141="","",IF(D141="Completed",1,IF(D141="Revising",0.9,IF(D141="In Progress",IF($G141&gt;0,MIN(1,$H141/$G141),0.5),IF(D141="On Hold",0.25,0)))))</f>
        <v/>
      </c>
      <c r="J141" s="27" t="n"/>
      <c r="K141" s="26" t="n"/>
    </row>
    <row r="142">
      <c r="A142" s="21" t="n"/>
      <c r="B142" s="21" t="n"/>
      <c r="C142" s="22" t="n"/>
      <c r="D142" s="22" t="n"/>
      <c r="E142" s="23" t="n"/>
      <c r="F142" s="23" t="n"/>
      <c r="G142" s="24" t="n"/>
      <c r="H142" s="24" t="n"/>
      <c r="I142" s="25">
        <f>IF($A142="","",IF(D142="Completed",1,IF(D142="Revising",0.9,IF(D142="In Progress",IF($G142&gt;0,MIN(1,$H142/$G142),0.5),IF(D142="On Hold",0.25,0)))))</f>
        <v/>
      </c>
      <c r="J142" s="22" t="n"/>
      <c r="K142" s="21" t="n"/>
    </row>
    <row r="143">
      <c r="A143" s="26" t="n"/>
      <c r="B143" s="26" t="n"/>
      <c r="C143" s="27" t="n"/>
      <c r="D143" s="27" t="n"/>
      <c r="E143" s="28" t="n"/>
      <c r="F143" s="28" t="n"/>
      <c r="G143" s="29" t="n"/>
      <c r="H143" s="29" t="n"/>
      <c r="I143" s="30">
        <f>IF($A143="","",IF(D143="Completed",1,IF(D143="Revising",0.9,IF(D143="In Progress",IF($G143&gt;0,MIN(1,$H143/$G143),0.5),IF(D143="On Hold",0.25,0)))))</f>
        <v/>
      </c>
      <c r="J143" s="27" t="n"/>
      <c r="K143" s="26" t="n"/>
    </row>
    <row r="144">
      <c r="A144" s="21" t="n"/>
      <c r="B144" s="21" t="n"/>
      <c r="C144" s="22" t="n"/>
      <c r="D144" s="22" t="n"/>
      <c r="E144" s="23" t="n"/>
      <c r="F144" s="23" t="n"/>
      <c r="G144" s="24" t="n"/>
      <c r="H144" s="24" t="n"/>
      <c r="I144" s="25">
        <f>IF($A144="","",IF(D144="Completed",1,IF(D144="Revising",0.9,IF(D144="In Progress",IF($G144&gt;0,MIN(1,$H144/$G144),0.5),IF(D144="On Hold",0.25,0)))))</f>
        <v/>
      </c>
      <c r="J144" s="22" t="n"/>
      <c r="K144" s="21" t="n"/>
    </row>
    <row r="145">
      <c r="A145" s="26" t="n"/>
      <c r="B145" s="26" t="n"/>
      <c r="C145" s="27" t="n"/>
      <c r="D145" s="27" t="n"/>
      <c r="E145" s="28" t="n"/>
      <c r="F145" s="28" t="n"/>
      <c r="G145" s="29" t="n"/>
      <c r="H145" s="29" t="n"/>
      <c r="I145" s="30">
        <f>IF($A145="","",IF(D145="Completed",1,IF(D145="Revising",0.9,IF(D145="In Progress",IF($G145&gt;0,MIN(1,$H145/$G145),0.5),IF(D145="On Hold",0.25,0)))))</f>
        <v/>
      </c>
      <c r="J145" s="27" t="n"/>
      <c r="K145" s="26" t="n"/>
    </row>
    <row r="146">
      <c r="A146" s="21" t="n"/>
      <c r="B146" s="21" t="n"/>
      <c r="C146" s="22" t="n"/>
      <c r="D146" s="22" t="n"/>
      <c r="E146" s="23" t="n"/>
      <c r="F146" s="23" t="n"/>
      <c r="G146" s="24" t="n"/>
      <c r="H146" s="24" t="n"/>
      <c r="I146" s="25">
        <f>IF($A146="","",IF(D146="Completed",1,IF(D146="Revising",0.9,IF(D146="In Progress",IF($G146&gt;0,MIN(1,$H146/$G146),0.5),IF(D146="On Hold",0.25,0)))))</f>
        <v/>
      </c>
      <c r="J146" s="22" t="n"/>
      <c r="K146" s="21" t="n"/>
    </row>
    <row r="147">
      <c r="A147" s="26" t="n"/>
      <c r="B147" s="26" t="n"/>
      <c r="C147" s="27" t="n"/>
      <c r="D147" s="27" t="n"/>
      <c r="E147" s="28" t="n"/>
      <c r="F147" s="28" t="n"/>
      <c r="G147" s="29" t="n"/>
      <c r="H147" s="29" t="n"/>
      <c r="I147" s="30">
        <f>IF($A147="","",IF(D147="Completed",1,IF(D147="Revising",0.9,IF(D147="In Progress",IF($G147&gt;0,MIN(1,$H147/$G147),0.5),IF(D147="On Hold",0.25,0)))))</f>
        <v/>
      </c>
      <c r="J147" s="27" t="n"/>
      <c r="K147" s="26" t="n"/>
    </row>
    <row r="148">
      <c r="A148" s="21" t="n"/>
      <c r="B148" s="21" t="n"/>
      <c r="C148" s="22" t="n"/>
      <c r="D148" s="22" t="n"/>
      <c r="E148" s="23" t="n"/>
      <c r="F148" s="23" t="n"/>
      <c r="G148" s="24" t="n"/>
      <c r="H148" s="24" t="n"/>
      <c r="I148" s="25">
        <f>IF($A148="","",IF(D148="Completed",1,IF(D148="Revising",0.9,IF(D148="In Progress",IF($G148&gt;0,MIN(1,$H148/$G148),0.5),IF(D148="On Hold",0.25,0)))))</f>
        <v/>
      </c>
      <c r="J148" s="22" t="n"/>
      <c r="K148" s="21" t="n"/>
    </row>
    <row r="149">
      <c r="A149" s="26" t="n"/>
      <c r="B149" s="26" t="n"/>
      <c r="C149" s="27" t="n"/>
      <c r="D149" s="27" t="n"/>
      <c r="E149" s="28" t="n"/>
      <c r="F149" s="28" t="n"/>
      <c r="G149" s="29" t="n"/>
      <c r="H149" s="29" t="n"/>
      <c r="I149" s="30">
        <f>IF($A149="","",IF(D149="Completed",1,IF(D149="Revising",0.9,IF(D149="In Progress",IF($G149&gt;0,MIN(1,$H149/$G149),0.5),IF(D149="On Hold",0.25,0)))))</f>
        <v/>
      </c>
      <c r="J149" s="27" t="n"/>
      <c r="K149" s="26" t="n"/>
    </row>
    <row r="150">
      <c r="A150" s="21" t="n"/>
      <c r="B150" s="21" t="n"/>
      <c r="C150" s="22" t="n"/>
      <c r="D150" s="22" t="n"/>
      <c r="E150" s="23" t="n"/>
      <c r="F150" s="23" t="n"/>
      <c r="G150" s="24" t="n"/>
      <c r="H150" s="24" t="n"/>
      <c r="I150" s="25">
        <f>IF($A150="","",IF(D150="Completed",1,IF(D150="Revising",0.9,IF(D150="In Progress",IF($G150&gt;0,MIN(1,$H150/$G150),0.5),IF(D150="On Hold",0.25,0)))))</f>
        <v/>
      </c>
      <c r="J150" s="22" t="n"/>
      <c r="K150" s="21" t="n"/>
    </row>
    <row r="151">
      <c r="A151" s="26" t="n"/>
      <c r="B151" s="26" t="n"/>
      <c r="C151" s="27" t="n"/>
      <c r="D151" s="27" t="n"/>
      <c r="E151" s="28" t="n"/>
      <c r="F151" s="28" t="n"/>
      <c r="G151" s="29" t="n"/>
      <c r="H151" s="29" t="n"/>
      <c r="I151" s="30">
        <f>IF($A151="","",IF(D151="Completed",1,IF(D151="Revising",0.9,IF(D151="In Progress",IF($G151&gt;0,MIN(1,$H151/$G151),0.5),IF(D151="On Hold",0.25,0)))))</f>
        <v/>
      </c>
      <c r="J151" s="27" t="n"/>
      <c r="K151" s="26" t="n"/>
    </row>
    <row r="152">
      <c r="A152" s="21" t="n"/>
      <c r="B152" s="21" t="n"/>
      <c r="C152" s="22" t="n"/>
      <c r="D152" s="22" t="n"/>
      <c r="E152" s="23" t="n"/>
      <c r="F152" s="23" t="n"/>
      <c r="G152" s="24" t="n"/>
      <c r="H152" s="24" t="n"/>
      <c r="I152" s="25">
        <f>IF($A152="","",IF(D152="Completed",1,IF(D152="Revising",0.9,IF(D152="In Progress",IF($G152&gt;0,MIN(1,$H152/$G152),0.5),IF(D152="On Hold",0.25,0)))))</f>
        <v/>
      </c>
      <c r="J152" s="22" t="n"/>
      <c r="K152" s="21" t="n"/>
    </row>
    <row r="153">
      <c r="A153" s="26" t="n"/>
      <c r="B153" s="26" t="n"/>
      <c r="C153" s="27" t="n"/>
      <c r="D153" s="27" t="n"/>
      <c r="E153" s="28" t="n"/>
      <c r="F153" s="28" t="n"/>
      <c r="G153" s="29" t="n"/>
      <c r="H153" s="29" t="n"/>
      <c r="I153" s="30">
        <f>IF($A153="","",IF(D153="Completed",1,IF(D153="Revising",0.9,IF(D153="In Progress",IF($G153&gt;0,MIN(1,$H153/$G153),0.5),IF(D153="On Hold",0.25,0)))))</f>
        <v/>
      </c>
      <c r="J153" s="27" t="n"/>
      <c r="K153" s="26" t="n"/>
    </row>
    <row r="154">
      <c r="A154" s="21" t="n"/>
      <c r="B154" s="21" t="n"/>
      <c r="C154" s="22" t="n"/>
      <c r="D154" s="22" t="n"/>
      <c r="E154" s="23" t="n"/>
      <c r="F154" s="23" t="n"/>
      <c r="G154" s="24" t="n"/>
      <c r="H154" s="24" t="n"/>
      <c r="I154" s="25">
        <f>IF($A154="","",IF(D154="Completed",1,IF(D154="Revising",0.9,IF(D154="In Progress",IF($G154&gt;0,MIN(1,$H154/$G154),0.5),IF(D154="On Hold",0.25,0)))))</f>
        <v/>
      </c>
      <c r="J154" s="22" t="n"/>
      <c r="K154" s="21" t="n"/>
    </row>
    <row r="155">
      <c r="A155" s="26" t="n"/>
      <c r="B155" s="26" t="n"/>
      <c r="C155" s="27" t="n"/>
      <c r="D155" s="27" t="n"/>
      <c r="E155" s="28" t="n"/>
      <c r="F155" s="28" t="n"/>
      <c r="G155" s="29" t="n"/>
      <c r="H155" s="29" t="n"/>
      <c r="I155" s="30">
        <f>IF($A155="","",IF(D155="Completed",1,IF(D155="Revising",0.9,IF(D155="In Progress",IF($G155&gt;0,MIN(1,$H155/$G155),0.5),IF(D155="On Hold",0.25,0)))))</f>
        <v/>
      </c>
      <c r="J155" s="27" t="n"/>
      <c r="K155" s="26" t="n"/>
    </row>
    <row r="156">
      <c r="A156" s="21" t="n"/>
      <c r="B156" s="21" t="n"/>
      <c r="C156" s="22" t="n"/>
      <c r="D156" s="22" t="n"/>
      <c r="E156" s="23" t="n"/>
      <c r="F156" s="23" t="n"/>
      <c r="G156" s="24" t="n"/>
      <c r="H156" s="24" t="n"/>
      <c r="I156" s="25">
        <f>IF($A156="","",IF(D156="Completed",1,IF(D156="Revising",0.9,IF(D156="In Progress",IF($G156&gt;0,MIN(1,$H156/$G156),0.5),IF(D156="On Hold",0.25,0)))))</f>
        <v/>
      </c>
      <c r="J156" s="22" t="n"/>
      <c r="K156" s="21" t="n"/>
    </row>
    <row r="157">
      <c r="A157" s="26" t="n"/>
      <c r="B157" s="26" t="n"/>
      <c r="C157" s="27" t="n"/>
      <c r="D157" s="27" t="n"/>
      <c r="E157" s="28" t="n"/>
      <c r="F157" s="28" t="n"/>
      <c r="G157" s="29" t="n"/>
      <c r="H157" s="29" t="n"/>
      <c r="I157" s="30">
        <f>IF($A157="","",IF(D157="Completed",1,IF(D157="Revising",0.9,IF(D157="In Progress",IF($G157&gt;0,MIN(1,$H157/$G157),0.5),IF(D157="On Hold",0.25,0)))))</f>
        <v/>
      </c>
      <c r="J157" s="27" t="n"/>
      <c r="K157" s="26" t="n"/>
    </row>
    <row r="158">
      <c r="A158" s="21" t="n"/>
      <c r="B158" s="21" t="n"/>
      <c r="C158" s="22" t="n"/>
      <c r="D158" s="22" t="n"/>
      <c r="E158" s="23" t="n"/>
      <c r="F158" s="23" t="n"/>
      <c r="G158" s="24" t="n"/>
      <c r="H158" s="24" t="n"/>
      <c r="I158" s="25">
        <f>IF($A158="","",IF(D158="Completed",1,IF(D158="Revising",0.9,IF(D158="In Progress",IF($G158&gt;0,MIN(1,$H158/$G158),0.5),IF(D158="On Hold",0.25,0)))))</f>
        <v/>
      </c>
      <c r="J158" s="22" t="n"/>
      <c r="K158" s="21" t="n"/>
    </row>
    <row r="159">
      <c r="A159" s="26" t="n"/>
      <c r="B159" s="26" t="n"/>
      <c r="C159" s="27" t="n"/>
      <c r="D159" s="27" t="n"/>
      <c r="E159" s="28" t="n"/>
      <c r="F159" s="28" t="n"/>
      <c r="G159" s="29" t="n"/>
      <c r="H159" s="29" t="n"/>
      <c r="I159" s="30">
        <f>IF($A159="","",IF(D159="Completed",1,IF(D159="Revising",0.9,IF(D159="In Progress",IF($G159&gt;0,MIN(1,$H159/$G159),0.5),IF(D159="On Hold",0.25,0)))))</f>
        <v/>
      </c>
      <c r="J159" s="27" t="n"/>
      <c r="K159" s="26" t="n"/>
    </row>
    <row r="160">
      <c r="A160" s="21" t="n"/>
      <c r="B160" s="21" t="n"/>
      <c r="C160" s="22" t="n"/>
      <c r="D160" s="22" t="n"/>
      <c r="E160" s="23" t="n"/>
      <c r="F160" s="23" t="n"/>
      <c r="G160" s="24" t="n"/>
      <c r="H160" s="24" t="n"/>
      <c r="I160" s="25">
        <f>IF($A160="","",IF(D160="Completed",1,IF(D160="Revising",0.9,IF(D160="In Progress",IF($G160&gt;0,MIN(1,$H160/$G160),0.5),IF(D160="On Hold",0.25,0)))))</f>
        <v/>
      </c>
      <c r="J160" s="22" t="n"/>
      <c r="K160" s="21" t="n"/>
    </row>
    <row r="161">
      <c r="A161" s="26" t="n"/>
      <c r="B161" s="26" t="n"/>
      <c r="C161" s="27" t="n"/>
      <c r="D161" s="27" t="n"/>
      <c r="E161" s="28" t="n"/>
      <c r="F161" s="28" t="n"/>
      <c r="G161" s="29" t="n"/>
      <c r="H161" s="29" t="n"/>
      <c r="I161" s="30">
        <f>IF($A161="","",IF(D161="Completed",1,IF(D161="Revising",0.9,IF(D161="In Progress",IF($G161&gt;0,MIN(1,$H161/$G161),0.5),IF(D161="On Hold",0.25,0)))))</f>
        <v/>
      </c>
      <c r="J161" s="27" t="n"/>
      <c r="K161" s="26" t="n"/>
    </row>
    <row r="162">
      <c r="A162" s="21" t="n"/>
      <c r="B162" s="21" t="n"/>
      <c r="C162" s="22" t="n"/>
      <c r="D162" s="22" t="n"/>
      <c r="E162" s="23" t="n"/>
      <c r="F162" s="23" t="n"/>
      <c r="G162" s="24" t="n"/>
      <c r="H162" s="24" t="n"/>
      <c r="I162" s="25">
        <f>IF($A162="","",IF(D162="Completed",1,IF(D162="Revising",0.9,IF(D162="In Progress",IF($G162&gt;0,MIN(1,$H162/$G162),0.5),IF(D162="On Hold",0.25,0)))))</f>
        <v/>
      </c>
      <c r="J162" s="22" t="n"/>
      <c r="K162" s="21" t="n"/>
    </row>
    <row r="163">
      <c r="A163" s="26" t="n"/>
      <c r="B163" s="26" t="n"/>
      <c r="C163" s="27" t="n"/>
      <c r="D163" s="27" t="n"/>
      <c r="E163" s="28" t="n"/>
      <c r="F163" s="28" t="n"/>
      <c r="G163" s="29" t="n"/>
      <c r="H163" s="29" t="n"/>
      <c r="I163" s="30">
        <f>IF($A163="","",IF(D163="Completed",1,IF(D163="Revising",0.9,IF(D163="In Progress",IF($G163&gt;0,MIN(1,$H163/$G163),0.5),IF(D163="On Hold",0.25,0)))))</f>
        <v/>
      </c>
      <c r="J163" s="27" t="n"/>
      <c r="K163" s="26" t="n"/>
    </row>
    <row r="164">
      <c r="A164" s="21" t="n"/>
      <c r="B164" s="21" t="n"/>
      <c r="C164" s="22" t="n"/>
      <c r="D164" s="22" t="n"/>
      <c r="E164" s="23" t="n"/>
      <c r="F164" s="23" t="n"/>
      <c r="G164" s="24" t="n"/>
      <c r="H164" s="24" t="n"/>
      <c r="I164" s="25">
        <f>IF($A164="","",IF(D164="Completed",1,IF(D164="Revising",0.9,IF(D164="In Progress",IF($G164&gt;0,MIN(1,$H164/$G164),0.5),IF(D164="On Hold",0.25,0)))))</f>
        <v/>
      </c>
      <c r="J164" s="22" t="n"/>
      <c r="K164" s="21" t="n"/>
    </row>
    <row r="165">
      <c r="A165" s="26" t="n"/>
      <c r="B165" s="26" t="n"/>
      <c r="C165" s="27" t="n"/>
      <c r="D165" s="27" t="n"/>
      <c r="E165" s="28" t="n"/>
      <c r="F165" s="28" t="n"/>
      <c r="G165" s="29" t="n"/>
      <c r="H165" s="29" t="n"/>
      <c r="I165" s="30">
        <f>IF($A165="","",IF(D165="Completed",1,IF(D165="Revising",0.9,IF(D165="In Progress",IF($G165&gt;0,MIN(1,$H165/$G165),0.5),IF(D165="On Hold",0.25,0)))))</f>
        <v/>
      </c>
      <c r="J165" s="27" t="n"/>
      <c r="K165" s="26" t="n"/>
    </row>
    <row r="166">
      <c r="A166" s="21" t="n"/>
      <c r="B166" s="21" t="n"/>
      <c r="C166" s="22" t="n"/>
      <c r="D166" s="22" t="n"/>
      <c r="E166" s="23" t="n"/>
      <c r="F166" s="23" t="n"/>
      <c r="G166" s="24" t="n"/>
      <c r="H166" s="24" t="n"/>
      <c r="I166" s="25">
        <f>IF($A166="","",IF(D166="Completed",1,IF(D166="Revising",0.9,IF(D166="In Progress",IF($G166&gt;0,MIN(1,$H166/$G166),0.5),IF(D166="On Hold",0.25,0)))))</f>
        <v/>
      </c>
      <c r="J166" s="22" t="n"/>
      <c r="K166" s="21" t="n"/>
    </row>
    <row r="167">
      <c r="A167" s="26" t="n"/>
      <c r="B167" s="26" t="n"/>
      <c r="C167" s="27" t="n"/>
      <c r="D167" s="27" t="n"/>
      <c r="E167" s="28" t="n"/>
      <c r="F167" s="28" t="n"/>
      <c r="G167" s="29" t="n"/>
      <c r="H167" s="29" t="n"/>
      <c r="I167" s="30">
        <f>IF($A167="","",IF(D167="Completed",1,IF(D167="Revising",0.9,IF(D167="In Progress",IF($G167&gt;0,MIN(1,$H167/$G167),0.5),IF(D167="On Hold",0.25,0)))))</f>
        <v/>
      </c>
      <c r="J167" s="27" t="n"/>
      <c r="K167" s="26" t="n"/>
    </row>
    <row r="168">
      <c r="A168" s="21" t="n"/>
      <c r="B168" s="21" t="n"/>
      <c r="C168" s="22" t="n"/>
      <c r="D168" s="22" t="n"/>
      <c r="E168" s="23" t="n"/>
      <c r="F168" s="23" t="n"/>
      <c r="G168" s="24" t="n"/>
      <c r="H168" s="24" t="n"/>
      <c r="I168" s="25">
        <f>IF($A168="","",IF(D168="Completed",1,IF(D168="Revising",0.9,IF(D168="In Progress",IF($G168&gt;0,MIN(1,$H168/$G168),0.5),IF(D168="On Hold",0.25,0)))))</f>
        <v/>
      </c>
      <c r="J168" s="22" t="n"/>
      <c r="K168" s="21" t="n"/>
    </row>
    <row r="169">
      <c r="A169" s="26" t="n"/>
      <c r="B169" s="26" t="n"/>
      <c r="C169" s="27" t="n"/>
      <c r="D169" s="27" t="n"/>
      <c r="E169" s="28" t="n"/>
      <c r="F169" s="28" t="n"/>
      <c r="G169" s="29" t="n"/>
      <c r="H169" s="29" t="n"/>
      <c r="I169" s="30">
        <f>IF($A169="","",IF(D169="Completed",1,IF(D169="Revising",0.9,IF(D169="In Progress",IF($G169&gt;0,MIN(1,$H169/$G169),0.5),IF(D169="On Hold",0.25,0)))))</f>
        <v/>
      </c>
      <c r="J169" s="27" t="n"/>
      <c r="K169" s="26" t="n"/>
    </row>
    <row r="170">
      <c r="A170" s="21" t="n"/>
      <c r="B170" s="21" t="n"/>
      <c r="C170" s="22" t="n"/>
      <c r="D170" s="22" t="n"/>
      <c r="E170" s="23" t="n"/>
      <c r="F170" s="23" t="n"/>
      <c r="G170" s="24" t="n"/>
      <c r="H170" s="24" t="n"/>
      <c r="I170" s="25">
        <f>IF($A170="","",IF(D170="Completed",1,IF(D170="Revising",0.9,IF(D170="In Progress",IF($G170&gt;0,MIN(1,$H170/$G170),0.5),IF(D170="On Hold",0.25,0)))))</f>
        <v/>
      </c>
      <c r="J170" s="22" t="n"/>
      <c r="K170" s="21" t="n"/>
    </row>
    <row r="171">
      <c r="A171" s="26" t="n"/>
      <c r="B171" s="26" t="n"/>
      <c r="C171" s="27" t="n"/>
      <c r="D171" s="27" t="n"/>
      <c r="E171" s="28" t="n"/>
      <c r="F171" s="28" t="n"/>
      <c r="G171" s="29" t="n"/>
      <c r="H171" s="29" t="n"/>
      <c r="I171" s="30">
        <f>IF($A171="","",IF(D171="Completed",1,IF(D171="Revising",0.9,IF(D171="In Progress",IF($G171&gt;0,MIN(1,$H171/$G171),0.5),IF(D171="On Hold",0.25,0)))))</f>
        <v/>
      </c>
      <c r="J171" s="27" t="n"/>
      <c r="K171" s="26" t="n"/>
    </row>
    <row r="172">
      <c r="A172" s="21" t="n"/>
      <c r="B172" s="21" t="n"/>
      <c r="C172" s="22" t="n"/>
      <c r="D172" s="22" t="n"/>
      <c r="E172" s="23" t="n"/>
      <c r="F172" s="23" t="n"/>
      <c r="G172" s="24" t="n"/>
      <c r="H172" s="24" t="n"/>
      <c r="I172" s="25">
        <f>IF($A172="","",IF(D172="Completed",1,IF(D172="Revising",0.9,IF(D172="In Progress",IF($G172&gt;0,MIN(1,$H172/$G172),0.5),IF(D172="On Hold",0.25,0)))))</f>
        <v/>
      </c>
      <c r="J172" s="22" t="n"/>
      <c r="K172" s="21" t="n"/>
    </row>
    <row r="173">
      <c r="A173" s="26" t="n"/>
      <c r="B173" s="26" t="n"/>
      <c r="C173" s="27" t="n"/>
      <c r="D173" s="27" t="n"/>
      <c r="E173" s="28" t="n"/>
      <c r="F173" s="28" t="n"/>
      <c r="G173" s="29" t="n"/>
      <c r="H173" s="29" t="n"/>
      <c r="I173" s="30">
        <f>IF($A173="","",IF(D173="Completed",1,IF(D173="Revising",0.9,IF(D173="In Progress",IF($G173&gt;0,MIN(1,$H173/$G173),0.5),IF(D173="On Hold",0.25,0)))))</f>
        <v/>
      </c>
      <c r="J173" s="27" t="n"/>
      <c r="K173" s="26" t="n"/>
    </row>
    <row r="174">
      <c r="A174" s="21" t="n"/>
      <c r="B174" s="21" t="n"/>
      <c r="C174" s="22" t="n"/>
      <c r="D174" s="22" t="n"/>
      <c r="E174" s="23" t="n"/>
      <c r="F174" s="23" t="n"/>
      <c r="G174" s="24" t="n"/>
      <c r="H174" s="24" t="n"/>
      <c r="I174" s="25">
        <f>IF($A174="","",IF(D174="Completed",1,IF(D174="Revising",0.9,IF(D174="In Progress",IF($G174&gt;0,MIN(1,$H174/$G174),0.5),IF(D174="On Hold",0.25,0)))))</f>
        <v/>
      </c>
      <c r="J174" s="22" t="n"/>
      <c r="K174" s="21" t="n"/>
    </row>
    <row r="175">
      <c r="A175" s="26" t="n"/>
      <c r="B175" s="26" t="n"/>
      <c r="C175" s="27" t="n"/>
      <c r="D175" s="27" t="n"/>
      <c r="E175" s="28" t="n"/>
      <c r="F175" s="28" t="n"/>
      <c r="G175" s="29" t="n"/>
      <c r="H175" s="29" t="n"/>
      <c r="I175" s="30">
        <f>IF($A175="","",IF(D175="Completed",1,IF(D175="Revising",0.9,IF(D175="In Progress",IF($G175&gt;0,MIN(1,$H175/$G175),0.5),IF(D175="On Hold",0.25,0)))))</f>
        <v/>
      </c>
      <c r="J175" s="27" t="n"/>
      <c r="K175" s="26" t="n"/>
    </row>
    <row r="176">
      <c r="A176" s="21" t="n"/>
      <c r="B176" s="21" t="n"/>
      <c r="C176" s="22" t="n"/>
      <c r="D176" s="22" t="n"/>
      <c r="E176" s="23" t="n"/>
      <c r="F176" s="23" t="n"/>
      <c r="G176" s="24" t="n"/>
      <c r="H176" s="24" t="n"/>
      <c r="I176" s="25">
        <f>IF($A176="","",IF(D176="Completed",1,IF(D176="Revising",0.9,IF(D176="In Progress",IF($G176&gt;0,MIN(1,$H176/$G176),0.5),IF(D176="On Hold",0.25,0)))))</f>
        <v/>
      </c>
      <c r="J176" s="22" t="n"/>
      <c r="K176" s="21" t="n"/>
    </row>
    <row r="177">
      <c r="A177" s="26" t="n"/>
      <c r="B177" s="26" t="n"/>
      <c r="C177" s="27" t="n"/>
      <c r="D177" s="27" t="n"/>
      <c r="E177" s="28" t="n"/>
      <c r="F177" s="28" t="n"/>
      <c r="G177" s="29" t="n"/>
      <c r="H177" s="29" t="n"/>
      <c r="I177" s="30">
        <f>IF($A177="","",IF(D177="Completed",1,IF(D177="Revising",0.9,IF(D177="In Progress",IF($G177&gt;0,MIN(1,$H177/$G177),0.5),IF(D177="On Hold",0.25,0)))))</f>
        <v/>
      </c>
      <c r="J177" s="27" t="n"/>
      <c r="K177" s="26" t="n"/>
    </row>
    <row r="178">
      <c r="A178" s="21" t="n"/>
      <c r="B178" s="21" t="n"/>
      <c r="C178" s="22" t="n"/>
      <c r="D178" s="22" t="n"/>
      <c r="E178" s="23" t="n"/>
      <c r="F178" s="23" t="n"/>
      <c r="G178" s="24" t="n"/>
      <c r="H178" s="24" t="n"/>
      <c r="I178" s="25">
        <f>IF($A178="","",IF(D178="Completed",1,IF(D178="Revising",0.9,IF(D178="In Progress",IF($G178&gt;0,MIN(1,$H178/$G178),0.5),IF(D178="On Hold",0.25,0)))))</f>
        <v/>
      </c>
      <c r="J178" s="22" t="n"/>
      <c r="K178" s="21" t="n"/>
    </row>
    <row r="179">
      <c r="A179" s="26" t="n"/>
      <c r="B179" s="26" t="n"/>
      <c r="C179" s="27" t="n"/>
      <c r="D179" s="27" t="n"/>
      <c r="E179" s="28" t="n"/>
      <c r="F179" s="28" t="n"/>
      <c r="G179" s="29" t="n"/>
      <c r="H179" s="29" t="n"/>
      <c r="I179" s="30">
        <f>IF($A179="","",IF(D179="Completed",1,IF(D179="Revising",0.9,IF(D179="In Progress",IF($G179&gt;0,MIN(1,$H179/$G179),0.5),IF(D179="On Hold",0.25,0)))))</f>
        <v/>
      </c>
      <c r="J179" s="27" t="n"/>
      <c r="K179" s="26" t="n"/>
    </row>
    <row r="180">
      <c r="A180" s="21" t="n"/>
      <c r="B180" s="21" t="n"/>
      <c r="C180" s="22" t="n"/>
      <c r="D180" s="22" t="n"/>
      <c r="E180" s="23" t="n"/>
      <c r="F180" s="23" t="n"/>
      <c r="G180" s="24" t="n"/>
      <c r="H180" s="24" t="n"/>
      <c r="I180" s="25">
        <f>IF($A180="","",IF(D180="Completed",1,IF(D180="Revising",0.9,IF(D180="In Progress",IF($G180&gt;0,MIN(1,$H180/$G180),0.5),IF(D180="On Hold",0.25,0)))))</f>
        <v/>
      </c>
      <c r="J180" s="22" t="n"/>
      <c r="K180" s="21" t="n"/>
    </row>
    <row r="181">
      <c r="A181" s="26" t="n"/>
      <c r="B181" s="26" t="n"/>
      <c r="C181" s="27" t="n"/>
      <c r="D181" s="27" t="n"/>
      <c r="E181" s="28" t="n"/>
      <c r="F181" s="28" t="n"/>
      <c r="G181" s="29" t="n"/>
      <c r="H181" s="29" t="n"/>
      <c r="I181" s="30">
        <f>IF($A181="","",IF(D181="Completed",1,IF(D181="Revising",0.9,IF(D181="In Progress",IF($G181&gt;0,MIN(1,$H181/$G181),0.5),IF(D181="On Hold",0.25,0)))))</f>
        <v/>
      </c>
      <c r="J181" s="27" t="n"/>
      <c r="K181" s="26" t="n"/>
    </row>
    <row r="182">
      <c r="A182" s="21" t="n"/>
      <c r="B182" s="21" t="n"/>
      <c r="C182" s="22" t="n"/>
      <c r="D182" s="22" t="n"/>
      <c r="E182" s="23" t="n"/>
      <c r="F182" s="23" t="n"/>
      <c r="G182" s="24" t="n"/>
      <c r="H182" s="24" t="n"/>
      <c r="I182" s="25">
        <f>IF($A182="","",IF(D182="Completed",1,IF(D182="Revising",0.9,IF(D182="In Progress",IF($G182&gt;0,MIN(1,$H182/$G182),0.5),IF(D182="On Hold",0.25,0)))))</f>
        <v/>
      </c>
      <c r="J182" s="22" t="n"/>
      <c r="K182" s="21" t="n"/>
    </row>
    <row r="183">
      <c r="A183" s="26" t="n"/>
      <c r="B183" s="26" t="n"/>
      <c r="C183" s="27" t="n"/>
      <c r="D183" s="27" t="n"/>
      <c r="E183" s="28" t="n"/>
      <c r="F183" s="28" t="n"/>
      <c r="G183" s="29" t="n"/>
      <c r="H183" s="29" t="n"/>
      <c r="I183" s="30">
        <f>IF($A183="","",IF(D183="Completed",1,IF(D183="Revising",0.9,IF(D183="In Progress",IF($G183&gt;0,MIN(1,$H183/$G183),0.5),IF(D183="On Hold",0.25,0)))))</f>
        <v/>
      </c>
      <c r="J183" s="27" t="n"/>
      <c r="K183" s="26" t="n"/>
    </row>
    <row r="184">
      <c r="A184" s="21" t="n"/>
      <c r="B184" s="21" t="n"/>
      <c r="C184" s="22" t="n"/>
      <c r="D184" s="22" t="n"/>
      <c r="E184" s="23" t="n"/>
      <c r="F184" s="23" t="n"/>
      <c r="G184" s="24" t="n"/>
      <c r="H184" s="24" t="n"/>
      <c r="I184" s="25">
        <f>IF($A184="","",IF(D184="Completed",1,IF(D184="Revising",0.9,IF(D184="In Progress",IF($G184&gt;0,MIN(1,$H184/$G184),0.5),IF(D184="On Hold",0.25,0)))))</f>
        <v/>
      </c>
      <c r="J184" s="22" t="n"/>
      <c r="K184" s="21" t="n"/>
    </row>
    <row r="185">
      <c r="A185" s="26" t="n"/>
      <c r="B185" s="26" t="n"/>
      <c r="C185" s="27" t="n"/>
      <c r="D185" s="27" t="n"/>
      <c r="E185" s="28" t="n"/>
      <c r="F185" s="28" t="n"/>
      <c r="G185" s="29" t="n"/>
      <c r="H185" s="29" t="n"/>
      <c r="I185" s="30">
        <f>IF($A185="","",IF(D185="Completed",1,IF(D185="Revising",0.9,IF(D185="In Progress",IF($G185&gt;0,MIN(1,$H185/$G185),0.5),IF(D185="On Hold",0.25,0)))))</f>
        <v/>
      </c>
      <c r="J185" s="27" t="n"/>
      <c r="K185" s="26" t="n"/>
    </row>
    <row r="186">
      <c r="A186" s="21" t="n"/>
      <c r="B186" s="21" t="n"/>
      <c r="C186" s="22" t="n"/>
      <c r="D186" s="22" t="n"/>
      <c r="E186" s="23" t="n"/>
      <c r="F186" s="23" t="n"/>
      <c r="G186" s="24" t="n"/>
      <c r="H186" s="24" t="n"/>
      <c r="I186" s="25">
        <f>IF($A186="","",IF(D186="Completed",1,IF(D186="Revising",0.9,IF(D186="In Progress",IF($G186&gt;0,MIN(1,$H186/$G186),0.5),IF(D186="On Hold",0.25,0)))))</f>
        <v/>
      </c>
      <c r="J186" s="22" t="n"/>
      <c r="K186" s="21" t="n"/>
    </row>
    <row r="187">
      <c r="A187" s="26" t="n"/>
      <c r="B187" s="26" t="n"/>
      <c r="C187" s="27" t="n"/>
      <c r="D187" s="27" t="n"/>
      <c r="E187" s="28" t="n"/>
      <c r="F187" s="28" t="n"/>
      <c r="G187" s="29" t="n"/>
      <c r="H187" s="29" t="n"/>
      <c r="I187" s="30">
        <f>IF($A187="","",IF(D187="Completed",1,IF(D187="Revising",0.9,IF(D187="In Progress",IF($G187&gt;0,MIN(1,$H187/$G187),0.5),IF(D187="On Hold",0.25,0)))))</f>
        <v/>
      </c>
      <c r="J187" s="27" t="n"/>
      <c r="K187" s="26" t="n"/>
    </row>
    <row r="188">
      <c r="A188" s="21" t="n"/>
      <c r="B188" s="21" t="n"/>
      <c r="C188" s="22" t="n"/>
      <c r="D188" s="22" t="n"/>
      <c r="E188" s="23" t="n"/>
      <c r="F188" s="23" t="n"/>
      <c r="G188" s="24" t="n"/>
      <c r="H188" s="24" t="n"/>
      <c r="I188" s="25">
        <f>IF($A188="","",IF(D188="Completed",1,IF(D188="Revising",0.9,IF(D188="In Progress",IF($G188&gt;0,MIN(1,$H188/$G188),0.5),IF(D188="On Hold",0.25,0)))))</f>
        <v/>
      </c>
      <c r="J188" s="22" t="n"/>
      <c r="K188" s="21" t="n"/>
    </row>
    <row r="189">
      <c r="A189" s="26" t="n"/>
      <c r="B189" s="26" t="n"/>
      <c r="C189" s="27" t="n"/>
      <c r="D189" s="27" t="n"/>
      <c r="E189" s="28" t="n"/>
      <c r="F189" s="28" t="n"/>
      <c r="G189" s="29" t="n"/>
      <c r="H189" s="29" t="n"/>
      <c r="I189" s="30">
        <f>IF($A189="","",IF(D189="Completed",1,IF(D189="Revising",0.9,IF(D189="In Progress",IF($G189&gt;0,MIN(1,$H189/$G189),0.5),IF(D189="On Hold",0.25,0)))))</f>
        <v/>
      </c>
      <c r="J189" s="27" t="n"/>
      <c r="K189" s="26" t="n"/>
    </row>
    <row r="190">
      <c r="A190" s="21" t="n"/>
      <c r="B190" s="21" t="n"/>
      <c r="C190" s="22" t="n"/>
      <c r="D190" s="22" t="n"/>
      <c r="E190" s="23" t="n"/>
      <c r="F190" s="23" t="n"/>
      <c r="G190" s="24" t="n"/>
      <c r="H190" s="24" t="n"/>
      <c r="I190" s="25">
        <f>IF($A190="","",IF(D190="Completed",1,IF(D190="Revising",0.9,IF(D190="In Progress",IF($G190&gt;0,MIN(1,$H190/$G190),0.5),IF(D190="On Hold",0.25,0)))))</f>
        <v/>
      </c>
      <c r="J190" s="22" t="n"/>
      <c r="K190" s="21" t="n"/>
    </row>
    <row r="191">
      <c r="A191" s="26" t="n"/>
      <c r="B191" s="26" t="n"/>
      <c r="C191" s="27" t="n"/>
      <c r="D191" s="27" t="n"/>
      <c r="E191" s="28" t="n"/>
      <c r="F191" s="28" t="n"/>
      <c r="G191" s="29" t="n"/>
      <c r="H191" s="29" t="n"/>
      <c r="I191" s="30">
        <f>IF($A191="","",IF(D191="Completed",1,IF(D191="Revising",0.9,IF(D191="In Progress",IF($G191&gt;0,MIN(1,$H191/$G191),0.5),IF(D191="On Hold",0.25,0)))))</f>
        <v/>
      </c>
      <c r="J191" s="27" t="n"/>
      <c r="K191" s="26" t="n"/>
    </row>
    <row r="192">
      <c r="A192" s="21" t="n"/>
      <c r="B192" s="21" t="n"/>
      <c r="C192" s="22" t="n"/>
      <c r="D192" s="22" t="n"/>
      <c r="E192" s="23" t="n"/>
      <c r="F192" s="23" t="n"/>
      <c r="G192" s="24" t="n"/>
      <c r="H192" s="24" t="n"/>
      <c r="I192" s="25">
        <f>IF($A192="","",IF(D192="Completed",1,IF(D192="Revising",0.9,IF(D192="In Progress",IF($G192&gt;0,MIN(1,$H192/$G192),0.5),IF(D192="On Hold",0.25,0)))))</f>
        <v/>
      </c>
      <c r="J192" s="22" t="n"/>
      <c r="K192" s="21" t="n"/>
    </row>
    <row r="193">
      <c r="A193" s="26" t="n"/>
      <c r="B193" s="26" t="n"/>
      <c r="C193" s="27" t="n"/>
      <c r="D193" s="27" t="n"/>
      <c r="E193" s="28" t="n"/>
      <c r="F193" s="28" t="n"/>
      <c r="G193" s="29" t="n"/>
      <c r="H193" s="29" t="n"/>
      <c r="I193" s="30">
        <f>IF($A193="","",IF(D193="Completed",1,IF(D193="Revising",0.9,IF(D193="In Progress",IF($G193&gt;0,MIN(1,$H193/$G193),0.5),IF(D193="On Hold",0.25,0)))))</f>
        <v/>
      </c>
      <c r="J193" s="27" t="n"/>
      <c r="K193" s="26" t="n"/>
    </row>
    <row r="194">
      <c r="A194" s="21" t="n"/>
      <c r="B194" s="21" t="n"/>
      <c r="C194" s="22" t="n"/>
      <c r="D194" s="22" t="n"/>
      <c r="E194" s="23" t="n"/>
      <c r="F194" s="23" t="n"/>
      <c r="G194" s="24" t="n"/>
      <c r="H194" s="24" t="n"/>
      <c r="I194" s="25">
        <f>IF($A194="","",IF(D194="Completed",1,IF(D194="Revising",0.9,IF(D194="In Progress",IF($G194&gt;0,MIN(1,$H194/$G194),0.5),IF(D194="On Hold",0.25,0)))))</f>
        <v/>
      </c>
      <c r="J194" s="22" t="n"/>
      <c r="K194" s="21" t="n"/>
    </row>
    <row r="195">
      <c r="A195" s="26" t="n"/>
      <c r="B195" s="26" t="n"/>
      <c r="C195" s="27" t="n"/>
      <c r="D195" s="27" t="n"/>
      <c r="E195" s="28" t="n"/>
      <c r="F195" s="28" t="n"/>
      <c r="G195" s="29" t="n"/>
      <c r="H195" s="29" t="n"/>
      <c r="I195" s="30">
        <f>IF($A195="","",IF(D195="Completed",1,IF(D195="Revising",0.9,IF(D195="In Progress",IF($G195&gt;0,MIN(1,$H195/$G195),0.5),IF(D195="On Hold",0.25,0)))))</f>
        <v/>
      </c>
      <c r="J195" s="27" t="n"/>
      <c r="K195" s="26" t="n"/>
    </row>
    <row r="196">
      <c r="A196" s="21" t="n"/>
      <c r="B196" s="21" t="n"/>
      <c r="C196" s="22" t="n"/>
      <c r="D196" s="22" t="n"/>
      <c r="E196" s="23" t="n"/>
      <c r="F196" s="23" t="n"/>
      <c r="G196" s="24" t="n"/>
      <c r="H196" s="24" t="n"/>
      <c r="I196" s="25">
        <f>IF($A196="","",IF(D196="Completed",1,IF(D196="Revising",0.9,IF(D196="In Progress",IF($G196&gt;0,MIN(1,$H196/$G196),0.5),IF(D196="On Hold",0.25,0)))))</f>
        <v/>
      </c>
      <c r="J196" s="22" t="n"/>
      <c r="K196" s="21" t="n"/>
    </row>
    <row r="197">
      <c r="A197" s="26" t="n"/>
      <c r="B197" s="26" t="n"/>
      <c r="C197" s="27" t="n"/>
      <c r="D197" s="27" t="n"/>
      <c r="E197" s="28" t="n"/>
      <c r="F197" s="28" t="n"/>
      <c r="G197" s="29" t="n"/>
      <c r="H197" s="29" t="n"/>
      <c r="I197" s="30">
        <f>IF($A197="","",IF(D197="Completed",1,IF(D197="Revising",0.9,IF(D197="In Progress",IF($G197&gt;0,MIN(1,$H197/$G197),0.5),IF(D197="On Hold",0.25,0)))))</f>
        <v/>
      </c>
      <c r="J197" s="27" t="n"/>
      <c r="K197" s="26" t="n"/>
    </row>
    <row r="198">
      <c r="A198" s="21" t="n"/>
      <c r="B198" s="21" t="n"/>
      <c r="C198" s="22" t="n"/>
      <c r="D198" s="22" t="n"/>
      <c r="E198" s="23" t="n"/>
      <c r="F198" s="23" t="n"/>
      <c r="G198" s="24" t="n"/>
      <c r="H198" s="24" t="n"/>
      <c r="I198" s="25">
        <f>IF($A198="","",IF(D198="Completed",1,IF(D198="Revising",0.9,IF(D198="In Progress",IF($G198&gt;0,MIN(1,$H198/$G198),0.5),IF(D198="On Hold",0.25,0)))))</f>
        <v/>
      </c>
      <c r="J198" s="22" t="n"/>
      <c r="K198" s="21" t="n"/>
    </row>
    <row r="199">
      <c r="A199" s="26" t="n"/>
      <c r="B199" s="26" t="n"/>
      <c r="C199" s="27" t="n"/>
      <c r="D199" s="27" t="n"/>
      <c r="E199" s="28" t="n"/>
      <c r="F199" s="28" t="n"/>
      <c r="G199" s="29" t="n"/>
      <c r="H199" s="29" t="n"/>
      <c r="I199" s="30">
        <f>IF($A199="","",IF(D199="Completed",1,IF(D199="Revising",0.9,IF(D199="In Progress",IF($G199&gt;0,MIN(1,$H199/$G199),0.5),IF(D199="On Hold",0.25,0)))))</f>
        <v/>
      </c>
      <c r="J199" s="27" t="n"/>
      <c r="K199" s="26" t="n"/>
    </row>
    <row r="200">
      <c r="A200" s="21" t="n"/>
      <c r="B200" s="21" t="n"/>
      <c r="C200" s="22" t="n"/>
      <c r="D200" s="22" t="n"/>
      <c r="E200" s="23" t="n"/>
      <c r="F200" s="23" t="n"/>
      <c r="G200" s="24" t="n"/>
      <c r="H200" s="24" t="n"/>
      <c r="I200" s="25">
        <f>IF($A200="","",IF(D200="Completed",1,IF(D200="Revising",0.9,IF(D200="In Progress",IF($G200&gt;0,MIN(1,$H200/$G200),0.5),IF(D200="On Hold",0.25,0)))))</f>
        <v/>
      </c>
      <c r="J200" s="22" t="n"/>
      <c r="K200" s="21" t="n"/>
    </row>
    <row r="201">
      <c r="A201" s="26" t="n"/>
      <c r="B201" s="26" t="n"/>
      <c r="C201" s="27" t="n"/>
      <c r="D201" s="27" t="n"/>
      <c r="E201" s="28" t="n"/>
      <c r="F201" s="28" t="n"/>
      <c r="G201" s="29" t="n"/>
      <c r="H201" s="29" t="n"/>
      <c r="I201" s="30">
        <f>IF($A201="","",IF(D201="Completed",1,IF(D201="Revising",0.9,IF(D201="In Progress",IF($G201&gt;0,MIN(1,$H201/$G201),0.5),IF(D201="On Hold",0.25,0)))))</f>
        <v/>
      </c>
      <c r="J201" s="27" t="n"/>
      <c r="K201" s="26" t="n"/>
    </row>
    <row r="202">
      <c r="A202" s="21" t="n"/>
      <c r="B202" s="21" t="n"/>
      <c r="C202" s="22" t="n"/>
      <c r="D202" s="22" t="n"/>
      <c r="E202" s="23" t="n"/>
      <c r="F202" s="23" t="n"/>
      <c r="G202" s="24" t="n"/>
      <c r="H202" s="24" t="n"/>
      <c r="I202" s="25">
        <f>IF($A202="","",IF(D202="Completed",1,IF(D202="Revising",0.9,IF(D202="In Progress",IF($G202&gt;0,MIN(1,$H202/$G202),0.5),IF(D202="On Hold",0.25,0)))))</f>
        <v/>
      </c>
      <c r="J202" s="22" t="n"/>
      <c r="K202" s="21" t="n"/>
    </row>
    <row r="203">
      <c r="A203" s="26" t="n"/>
      <c r="B203" s="26" t="n"/>
      <c r="C203" s="27" t="n"/>
      <c r="D203" s="27" t="n"/>
      <c r="E203" s="28" t="n"/>
      <c r="F203" s="28" t="n"/>
      <c r="G203" s="29" t="n"/>
      <c r="H203" s="29" t="n"/>
      <c r="I203" s="30">
        <f>IF($A203="","",IF(D203="Completed",1,IF(D203="Revising",0.9,IF(D203="In Progress",IF($G203&gt;0,MIN(1,$H203/$G203),0.5),IF(D203="On Hold",0.25,0)))))</f>
        <v/>
      </c>
      <c r="J203" s="27" t="n"/>
      <c r="K203" s="26" t="n"/>
    </row>
  </sheetData>
  <mergeCells count="2">
    <mergeCell ref="A2:K2"/>
    <mergeCell ref="A1:K1"/>
  </mergeCells>
  <conditionalFormatting sqref="D4:D20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"On Hold"</formula>
    </cfRule>
    <cfRule type="cellIs" priority="5" operator="equal" dxfId="4">
      <formula>"Revising"</formula>
    </cfRule>
  </conditionalFormatting>
  <conditionalFormatting sqref="C4:C203">
    <cfRule type="cellIs" priority="6" operator="equal" dxfId="5">
      <formula>"High"</formula>
    </cfRule>
  </conditionalFormatting>
  <conditionalFormatting sqref="I4:I203">
    <cfRule type="colorScale" priority="7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conditionalFormatting sqref="F4:F203">
    <cfRule type="expression" priority="8" dxfId="6">
      <formula>AND($F4&lt;&gt;"",$F4&lt;TODAY(),$D4&lt;&gt;"Completed")</formula>
    </cfRule>
  </conditionalFormatting>
  <dataValidations count="3">
    <dataValidation sqref="D4:D203" showDropDown="0" showInputMessage="0" showErrorMessage="0" allowBlank="1" type="list">
      <formula1>=Lists!$A$2:$A$6</formula1>
    </dataValidation>
    <dataValidation sqref="C4:C203" showDropDown="0" showInputMessage="0" showErrorMessage="0" allowBlank="1" type="list">
      <formula1>=Lists!$B$2:$B$4</formula1>
    </dataValidation>
    <dataValidation sqref="J4:J203" showDropDown="0" showInputMessage="0" showErrorMessage="0" allowBlank="1" type="list">
      <formula1>=Lists!$C$2:$C$6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31" t="inlineStr">
        <is>
          <t>WEEKLY STUDY SCHEDULE</t>
        </is>
      </c>
    </row>
    <row r="2">
      <c r="A2" s="32" t="inlineStr">
        <is>
          <t>Time</t>
        </is>
      </c>
      <c r="B2" s="32" t="inlineStr">
        <is>
          <t>Monday</t>
        </is>
      </c>
      <c r="C2" s="32" t="inlineStr">
        <is>
          <t>Tuesday</t>
        </is>
      </c>
      <c r="D2" s="32" t="inlineStr">
        <is>
          <t>Wednesday</t>
        </is>
      </c>
      <c r="E2" s="32" t="inlineStr">
        <is>
          <t>Thursday</t>
        </is>
      </c>
      <c r="F2" s="32" t="inlineStr">
        <is>
          <t>Friday</t>
        </is>
      </c>
      <c r="G2" s="32" t="inlineStr">
        <is>
          <t>Saturday</t>
        </is>
      </c>
      <c r="H2" s="32" t="inlineStr">
        <is>
          <t>Sunday</t>
        </is>
      </c>
    </row>
    <row r="3" ht="26" customHeight="1">
      <c r="A3" s="12" t="inlineStr">
        <is>
          <t>06:00 - 08:00</t>
        </is>
      </c>
      <c r="B3" s="33" t="n"/>
      <c r="C3" s="33" t="n"/>
      <c r="D3" s="33" t="n"/>
      <c r="E3" s="33" t="n"/>
      <c r="F3" s="33" t="n"/>
      <c r="G3" s="33" t="n"/>
      <c r="H3" s="33" t="n"/>
    </row>
    <row r="4" ht="26" customHeight="1">
      <c r="A4" s="12" t="inlineStr">
        <is>
          <t>08:00 - 10:00</t>
        </is>
      </c>
      <c r="B4" s="34" t="n"/>
      <c r="C4" s="34" t="n"/>
      <c r="D4" s="34" t="n"/>
      <c r="E4" s="34" t="n"/>
      <c r="F4" s="34" t="n"/>
      <c r="G4" s="34" t="n"/>
      <c r="H4" s="34" t="n"/>
    </row>
    <row r="5" ht="26" customHeight="1">
      <c r="A5" s="12" t="inlineStr">
        <is>
          <t>10:00 - 12:00</t>
        </is>
      </c>
      <c r="B5" s="33" t="n"/>
      <c r="C5" s="33" t="n"/>
      <c r="D5" s="33" t="n"/>
      <c r="E5" s="33" t="n"/>
      <c r="F5" s="33" t="n"/>
      <c r="G5" s="33" t="n"/>
      <c r="H5" s="33" t="n"/>
    </row>
    <row r="6" ht="26" customHeight="1">
      <c r="A6" s="12" t="inlineStr">
        <is>
          <t>12:00 - 14:00</t>
        </is>
      </c>
      <c r="B6" s="34" t="n"/>
      <c r="C6" s="34" t="n"/>
      <c r="D6" s="34" t="n"/>
      <c r="E6" s="34" t="n"/>
      <c r="F6" s="34" t="n"/>
      <c r="G6" s="34" t="n"/>
      <c r="H6" s="34" t="n"/>
    </row>
    <row r="7" ht="26" customHeight="1">
      <c r="A7" s="12" t="inlineStr">
        <is>
          <t>14:00 - 16:00</t>
        </is>
      </c>
      <c r="B7" s="33" t="n"/>
      <c r="C7" s="33" t="n"/>
      <c r="D7" s="33" t="n"/>
      <c r="E7" s="33" t="n"/>
      <c r="F7" s="33" t="n"/>
      <c r="G7" s="33" t="n"/>
      <c r="H7" s="33" t="n"/>
    </row>
    <row r="8" ht="26" customHeight="1">
      <c r="A8" s="12" t="inlineStr">
        <is>
          <t>16:00 - 18:00</t>
        </is>
      </c>
      <c r="B8" s="34" t="n"/>
      <c r="C8" s="34" t="n"/>
      <c r="D8" s="34" t="n"/>
      <c r="E8" s="34" t="n"/>
      <c r="F8" s="34" t="n"/>
      <c r="G8" s="34" t="n"/>
      <c r="H8" s="34" t="n"/>
    </row>
    <row r="9" ht="26" customHeight="1">
      <c r="A9" s="12" t="inlineStr">
        <is>
          <t>18:00 - 20:00</t>
        </is>
      </c>
      <c r="B9" s="33" t="n"/>
      <c r="C9" s="33" t="n"/>
      <c r="D9" s="33" t="n"/>
      <c r="E9" s="33" t="n"/>
      <c r="F9" s="33" t="n"/>
      <c r="G9" s="33" t="n"/>
      <c r="H9" s="33" t="n"/>
    </row>
    <row r="10" ht="26" customHeight="1">
      <c r="A10" s="12" t="inlineStr">
        <is>
          <t>20:00 - 22:00</t>
        </is>
      </c>
      <c r="B10" s="34" t="n"/>
      <c r="C10" s="34" t="n"/>
      <c r="D10" s="34" t="n"/>
      <c r="E10" s="34" t="n"/>
      <c r="F10" s="34" t="n"/>
      <c r="G10" s="34" t="n"/>
      <c r="H10" s="3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Confidence</t>
        </is>
      </c>
    </row>
    <row r="2">
      <c r="A2" t="inlineStr">
        <is>
          <t>Not Started</t>
        </is>
      </c>
      <c r="B2" t="inlineStr">
        <is>
          <t>High</t>
        </is>
      </c>
      <c r="C2" t="inlineStr">
        <is>
          <t>1 - Shaky</t>
        </is>
      </c>
    </row>
    <row r="3">
      <c r="A3" t="inlineStr">
        <is>
          <t>In Progress</t>
        </is>
      </c>
      <c r="B3" t="inlineStr">
        <is>
          <t>Medium</t>
        </is>
      </c>
      <c r="C3" t="inlineStr">
        <is>
          <t>2 - Weak</t>
        </is>
      </c>
    </row>
    <row r="4">
      <c r="A4" t="inlineStr">
        <is>
          <t>Completed</t>
        </is>
      </c>
      <c r="B4" t="inlineStr">
        <is>
          <t>Low</t>
        </is>
      </c>
      <c r="C4" t="inlineStr">
        <is>
          <t>3 - OK</t>
        </is>
      </c>
    </row>
    <row r="5">
      <c r="A5" t="inlineStr">
        <is>
          <t>On Hold</t>
        </is>
      </c>
      <c r="C5" t="inlineStr">
        <is>
          <t>4 - Good</t>
        </is>
      </c>
    </row>
    <row r="6">
      <c r="A6" t="inlineStr">
        <is>
          <t>Revising</t>
        </is>
      </c>
      <c r="C6" t="inlineStr">
        <is>
          <t>5 - 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2026-06-14T09:44:47Z</dcterms:created>
  <dcterms:modified xsi:type="dcterms:W3CDTF">2026-06-14T09:44:47Z</dcterms:modified>
</cp:coreProperties>
</file>